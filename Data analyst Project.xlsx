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68699D6E-0DDE-4228-855B-60E9DF4CD038}" xr6:coauthVersionLast="47" xr6:coauthVersionMax="47" xr10:uidLastSave="{00000000-0000-0000-0000-000000000000}"/>
  <bookViews>
    <workbookView xWindow="-120" yWindow="-120" windowWidth="20730" windowHeight="11160" tabRatio="642" xr2:uid="{4C49E440-E6B0-4158-B780-136E3D4661A3}"/>
  </bookViews>
  <sheets>
    <sheet name="Data" sheetId="3" r:id="rId1"/>
    <sheet name="Data Cleaning" sheetId="6" r:id="rId2"/>
    <sheet name="Datas Processing" sheetId="1" r:id="rId3"/>
    <sheet name="Data Visualization" sheetId="5" r:id="rId4"/>
    <sheet name="Dashboard" sheetId="7" r:id="rId5"/>
    <sheet name="Sheet1" sheetId="8" r:id="rId6"/>
  </sheets>
  <definedNames>
    <definedName name="_xlchart.v5.0" hidden="1">Data!$A$1:$C$1</definedName>
    <definedName name="_xlchart.v5.1" hidden="1">Data!$A$2:$C$90</definedName>
    <definedName name="_xlchart.v5.10" hidden="1">Data!$H$1</definedName>
    <definedName name="_xlchart.v5.11" hidden="1">Data!$H$2:$H$90</definedName>
    <definedName name="_xlchart.v5.12" hidden="1">Data!$I$1</definedName>
    <definedName name="_xlchart.v5.13" hidden="1">Data!$I$2:$I$90</definedName>
    <definedName name="_xlchart.v5.14" hidden="1">Data!$H$1</definedName>
    <definedName name="_xlchart.v5.15" hidden="1">Data!$H$2:$H$90</definedName>
    <definedName name="_xlchart.v5.16" hidden="1">Data!$I$1</definedName>
    <definedName name="_xlchart.v5.17" hidden="1">Data!$I$2:$I$90</definedName>
    <definedName name="_xlchart.v5.18" hidden="1">Data!$H$1</definedName>
    <definedName name="_xlchart.v5.19" hidden="1">Data!$H$2:$H$90</definedName>
    <definedName name="_xlchart.v5.2" hidden="1">Data!$D$1</definedName>
    <definedName name="_xlchart.v5.20" hidden="1">Data!$I$1</definedName>
    <definedName name="_xlchart.v5.21" hidden="1">Data!$I$2:$I$90</definedName>
    <definedName name="_xlchart.v5.22" hidden="1">'Data Visualization'!$Y$39</definedName>
    <definedName name="_xlchart.v5.23" hidden="1">'Data Visualization'!$Z$39</definedName>
    <definedName name="_xlchart.v5.3" hidden="1">Data!$D$2:$D$90</definedName>
    <definedName name="_xlchart.v5.4" hidden="1">Data!$E$1</definedName>
    <definedName name="_xlchart.v5.5" hidden="1">Data!$E$2:$E$90</definedName>
    <definedName name="_xlchart.v5.6" hidden="1">Data!$F$1</definedName>
    <definedName name="_xlchart.v5.7" hidden="1">Data!$F$2:$F$90</definedName>
    <definedName name="_xlchart.v5.8" hidden="1">Data!$G$1</definedName>
    <definedName name="_xlchart.v5.9" hidden="1">Data!$G$2:$G$90</definedName>
    <definedName name="_xlcn.WorksheetConnection_PivotTabelA46H1351" hidden="1">'Data Visualization'!$A$46:$H$135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Pivot Tabel!$A$46:$H$13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1" i="1" l="1"/>
  <c r="Q10" i="1"/>
  <c r="AA11" i="1"/>
  <c r="Z11" i="1"/>
  <c r="Z10" i="1"/>
  <c r="AA10" i="1"/>
  <c r="AA9" i="1"/>
  <c r="Z9" i="1"/>
  <c r="W10" i="1"/>
  <c r="W9" i="1"/>
  <c r="T9" i="1"/>
  <c r="Q9" i="1"/>
  <c r="N6" i="1"/>
  <c r="N7" i="1"/>
  <c r="N9" i="1"/>
  <c r="N8" i="1"/>
  <c r="N10" i="1"/>
  <c r="N12" i="1"/>
  <c r="N11" i="1"/>
  <c r="N13" i="1"/>
  <c r="N14" i="1"/>
  <c r="N17" i="1"/>
  <c r="N16" i="1"/>
  <c r="N15" i="1"/>
  <c r="N19" i="1"/>
  <c r="N18" i="1"/>
  <c r="N21" i="1"/>
  <c r="N20" i="1"/>
  <c r="N22" i="1"/>
  <c r="N25" i="1"/>
  <c r="N24" i="1"/>
  <c r="N23" i="1"/>
  <c r="N27" i="1"/>
  <c r="N26" i="1"/>
  <c r="N28" i="1"/>
  <c r="N30" i="1"/>
  <c r="N29" i="1"/>
  <c r="N31" i="1"/>
  <c r="N35" i="1"/>
  <c r="N34" i="1"/>
  <c r="N33" i="1"/>
  <c r="N32" i="1"/>
  <c r="N36" i="1"/>
  <c r="N37" i="1"/>
  <c r="N38" i="1"/>
  <c r="N39" i="1"/>
  <c r="N42" i="1"/>
  <c r="N41" i="1"/>
  <c r="N40" i="1"/>
  <c r="N45" i="1"/>
  <c r="N44" i="1"/>
  <c r="N43" i="1"/>
  <c r="N46" i="1"/>
  <c r="N47" i="1"/>
  <c r="N49" i="1"/>
  <c r="N48" i="1"/>
  <c r="N50" i="1"/>
  <c r="N52" i="1"/>
  <c r="N51" i="1"/>
  <c r="N53" i="1"/>
  <c r="N54" i="1"/>
  <c r="N55" i="1"/>
  <c r="N56" i="1"/>
  <c r="N57" i="1"/>
  <c r="N59" i="1"/>
  <c r="N58" i="1"/>
  <c r="N60" i="1"/>
  <c r="N63" i="1"/>
  <c r="N62" i="1"/>
  <c r="N61" i="1"/>
  <c r="N64" i="1"/>
  <c r="N66" i="1"/>
  <c r="N65" i="1"/>
  <c r="N68" i="1"/>
  <c r="N67" i="1"/>
  <c r="N70" i="1"/>
  <c r="N69" i="1"/>
  <c r="N71" i="1"/>
  <c r="N72" i="1"/>
  <c r="N73" i="1"/>
  <c r="N75" i="1"/>
  <c r="N74" i="1"/>
  <c r="N76" i="1"/>
  <c r="N79" i="1"/>
  <c r="N78" i="1"/>
  <c r="N77" i="1"/>
  <c r="N80" i="1"/>
  <c r="N81" i="1"/>
  <c r="N82" i="1"/>
  <c r="N83" i="1"/>
  <c r="N84" i="1"/>
  <c r="N85" i="1"/>
  <c r="N86" i="1"/>
  <c r="N88" i="1"/>
  <c r="N87" i="1"/>
  <c r="N89" i="1"/>
  <c r="N91" i="1"/>
  <c r="N90" i="1"/>
  <c r="N93" i="1"/>
  <c r="N92" i="1"/>
  <c r="F7" i="1"/>
  <c r="F53" i="1"/>
  <c r="F68" i="1"/>
  <c r="F38" i="1"/>
  <c r="F18" i="1"/>
  <c r="F54" i="1"/>
  <c r="F81" i="1"/>
  <c r="F35" i="1"/>
  <c r="F36" i="1"/>
  <c r="F46" i="1"/>
  <c r="F86" i="1"/>
  <c r="F32" i="1"/>
  <c r="F10" i="1"/>
  <c r="F63" i="1"/>
  <c r="F89" i="1"/>
  <c r="F26" i="1"/>
  <c r="F16" i="1"/>
  <c r="F56" i="1"/>
  <c r="F70" i="1"/>
  <c r="F13" i="1"/>
  <c r="F17" i="1"/>
  <c r="F57" i="1"/>
  <c r="F76" i="1"/>
  <c r="F43" i="1"/>
  <c r="F19" i="1"/>
  <c r="F64" i="1"/>
  <c r="F82" i="1"/>
  <c r="F49" i="1"/>
  <c r="F39" i="1"/>
  <c r="F45" i="1"/>
  <c r="F79" i="1"/>
  <c r="F30" i="1"/>
  <c r="F12" i="1"/>
  <c r="F71" i="1"/>
  <c r="F88" i="1"/>
  <c r="F23" i="1"/>
  <c r="F15" i="1"/>
  <c r="F65" i="1"/>
  <c r="F87" i="1"/>
  <c r="F6" i="1"/>
  <c r="F24" i="1"/>
  <c r="F55" i="1"/>
  <c r="F72" i="1"/>
  <c r="F40" i="1"/>
  <c r="F42" i="1"/>
  <c r="F48" i="1"/>
  <c r="F91" i="1"/>
  <c r="F37" i="1"/>
  <c r="F28" i="1"/>
  <c r="F60" i="1"/>
  <c r="F73" i="1"/>
  <c r="F33" i="1"/>
  <c r="F9" i="1"/>
  <c r="F69" i="1"/>
  <c r="F83" i="1"/>
  <c r="F25" i="1"/>
  <c r="F14" i="1"/>
  <c r="F66" i="1"/>
  <c r="F77" i="1"/>
  <c r="F44" i="1"/>
  <c r="F34" i="1"/>
  <c r="F47" i="1"/>
  <c r="F93" i="1"/>
  <c r="F52" i="1"/>
  <c r="F41" i="1"/>
  <c r="F59" i="1"/>
  <c r="F84" i="1"/>
  <c r="F31" i="1"/>
  <c r="F8" i="1"/>
  <c r="F61" i="1"/>
  <c r="F92" i="1"/>
  <c r="F22" i="1"/>
  <c r="F27" i="1"/>
  <c r="F62" i="1"/>
  <c r="F80" i="1"/>
  <c r="F58" i="1"/>
  <c r="F20" i="1"/>
  <c r="F67" i="1"/>
  <c r="F74" i="1"/>
  <c r="F50" i="1"/>
  <c r="F51" i="1"/>
  <c r="F75" i="1"/>
  <c r="F90" i="1"/>
  <c r="F29" i="1"/>
  <c r="F11" i="1"/>
  <c r="F78" i="1"/>
  <c r="F85" i="1"/>
  <c r="F21" i="1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6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6" i="6"/>
  <c r="T8" i="1" l="1"/>
  <c r="Q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8086FD-2F66-46F9-9257-99F27910E6D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BE89124-2F76-4C3E-B6A8-321CF008BE59}" name="WorksheetConnection_Pivot Tabel!$A$46:$H$135" type="102" refreshedVersion="7" minRefreshableVersion="5">
    <extLst>
      <ext xmlns:x15="http://schemas.microsoft.com/office/spreadsheetml/2010/11/main" uri="{DE250136-89BD-433C-8126-D09CA5730AF9}">
        <x15:connection id="Range">
          <x15:rangePr sourceName="_xlcn.WorksheetConnection_PivotTabelA46H1351"/>
        </x15:connection>
      </ext>
    </extLst>
  </connection>
</connections>
</file>

<file path=xl/sharedStrings.xml><?xml version="1.0" encoding="utf-8"?>
<sst xmlns="http://schemas.openxmlformats.org/spreadsheetml/2006/main" count="1432" uniqueCount="137">
  <si>
    <t>Product</t>
  </si>
  <si>
    <t>Date</t>
  </si>
  <si>
    <t>Price</t>
  </si>
  <si>
    <t>Quantity</t>
  </si>
  <si>
    <t>Sales</t>
  </si>
  <si>
    <t>Profit</t>
  </si>
  <si>
    <t>Electronics</t>
  </si>
  <si>
    <t>Laptop</t>
  </si>
  <si>
    <t>Mobile</t>
  </si>
  <si>
    <t>Clothing</t>
  </si>
  <si>
    <t>Shirt</t>
  </si>
  <si>
    <t>Grocery</t>
  </si>
  <si>
    <t>Rice</t>
  </si>
  <si>
    <t>Furniture</t>
  </si>
  <si>
    <t>Chair</t>
  </si>
  <si>
    <t>Tablet</t>
  </si>
  <si>
    <t>Jeans</t>
  </si>
  <si>
    <t>Oil</t>
  </si>
  <si>
    <t>Table</t>
  </si>
  <si>
    <t>Headphones</t>
  </si>
  <si>
    <t>Jacket</t>
  </si>
  <si>
    <t>Sugar</t>
  </si>
  <si>
    <t>Sofa</t>
  </si>
  <si>
    <t>T-shirt</t>
  </si>
  <si>
    <t>Wheat</t>
  </si>
  <si>
    <t>Bed</t>
  </si>
  <si>
    <t>Departmentt</t>
  </si>
  <si>
    <t>Row Labels</t>
  </si>
  <si>
    <t>Grand Total</t>
  </si>
  <si>
    <t>Sum of Price</t>
  </si>
  <si>
    <t>Sum of Sales</t>
  </si>
  <si>
    <t>Sum of Profit</t>
  </si>
  <si>
    <t>Feb</t>
  </si>
  <si>
    <t>Mar</t>
  </si>
  <si>
    <t>Apr</t>
  </si>
  <si>
    <t>May</t>
  </si>
  <si>
    <t>Jan</t>
  </si>
  <si>
    <t>Location</t>
  </si>
  <si>
    <t>Bangalore</t>
  </si>
  <si>
    <t>Kochi</t>
  </si>
  <si>
    <t>Vellore</t>
  </si>
  <si>
    <t>Delhi</t>
  </si>
  <si>
    <t>Chennai</t>
  </si>
  <si>
    <t>Column1</t>
  </si>
  <si>
    <t>clothing</t>
  </si>
  <si>
    <t xml:space="preserve">Highlighting Duplicate values </t>
  </si>
  <si>
    <t xml:space="preserve">       Conditional Formating</t>
  </si>
  <si>
    <t xml:space="preserve">                                Spliting text into Multiple cells</t>
  </si>
  <si>
    <t>Electronics,Laptop,05-01-25,55000,2,110000,22000</t>
  </si>
  <si>
    <t>Electronics,Mobile,08-01-25,20000,3,60000,12000</t>
  </si>
  <si>
    <t>Clothing,Shirt,10-01-25,1200,5,6000,1200</t>
  </si>
  <si>
    <t>Grocery,Rice,12-01-25,80,50,4000,800</t>
  </si>
  <si>
    <t>Furniture,Chair,15-01-25,2500,4,10000,2000</t>
  </si>
  <si>
    <t>Electronics,Tablet,18-01-25,18000,2,36000,7200</t>
  </si>
  <si>
    <t>Clothing,Jeans,20-01-25,2000,3,6000,1200</t>
  </si>
  <si>
    <t>Grocery,Oil,23-01-25,150,20,3000,600</t>
  </si>
  <si>
    <t>Furniture,Table,25-01-25,6000,2,12000,2400</t>
  </si>
  <si>
    <t>Electronics,Headphones,28-01-25,3000,4,12000,2400</t>
  </si>
  <si>
    <t>Clothing,Jacket,02-02-25,3500,2,7000,1400</t>
  </si>
  <si>
    <t>Grocery,Sugar,05-02-25,45,60,2700,540</t>
  </si>
  <si>
    <t>Furniture,Sofa,08-02-25,20000,1,20000,4000</t>
  </si>
  <si>
    <t>Electronics,Laptop,12-02-25,58000,1,58000,11600</t>
  </si>
  <si>
    <t>Clothing,T-shirt,15-02-25,700,6,4200,840</t>
  </si>
  <si>
    <t>Grocery,Wheat,18-02-25,60,40,2400,480</t>
  </si>
  <si>
    <t>Furniture,Bed,21-02-25,30000,1,30000,6000</t>
  </si>
  <si>
    <t>Electronics,Mobile,25-02-25,22000,2,44000,8800</t>
  </si>
  <si>
    <t>Clothing,Shirt,28-02-25,1300,4,5200,1040</t>
  </si>
  <si>
    <t>Grocery,Rice,03-03-25,85,45,3825,765</t>
  </si>
  <si>
    <t>Electronics,Laptop,05-03-25,56000,1,56000,11200</t>
  </si>
  <si>
    <t>Electronics,Mobile,06-03-25,21000,2,42000,8400</t>
  </si>
  <si>
    <t>Clothing,Shirt,07-03-25,1300,4,5200,1040</t>
  </si>
  <si>
    <t>Grocery,Rice,08-03-25,85,40,3400,680</t>
  </si>
  <si>
    <t>Furniture,Chair,09-03-25,2600,3,7800,1560</t>
  </si>
  <si>
    <t>Electronics,Tablet,10-03-25,17000,2,34000,6800</t>
  </si>
  <si>
    <t>Clothing,Jeans,11-03-25,2100,2,4200,840</t>
  </si>
  <si>
    <t>Grocery,Sugar,12-03-25,50,60,3000,600</t>
  </si>
  <si>
    <t>Furniture,Table,13-03-25,6500,1,6500,1300</t>
  </si>
  <si>
    <t>Electronics,Headphones,14-03-25,3200,3,9600,1920</t>
  </si>
  <si>
    <t>Clothing,Jacket,15-03-25,3600,2,7200,1440</t>
  </si>
  <si>
    <t>Grocery,Oil,16-03-25,155,20,3100,620</t>
  </si>
  <si>
    <t>Furniture,Sofa,17-03-25,21000,1,21000,4200</t>
  </si>
  <si>
    <t>electronics</t>
  </si>
  <si>
    <t>grocery</t>
  </si>
  <si>
    <t>furniture</t>
  </si>
  <si>
    <t>UPPER</t>
  </si>
  <si>
    <t>LOWER</t>
  </si>
  <si>
    <t>PROPER</t>
  </si>
  <si>
    <t>Changing case of Text</t>
  </si>
  <si>
    <t>Column2</t>
  </si>
  <si>
    <t>Trim</t>
  </si>
  <si>
    <t>Trim Output</t>
  </si>
  <si>
    <t>Electronics   Laptop</t>
  </si>
  <si>
    <t>Electronics   Mobile</t>
  </si>
  <si>
    <t>Clothing   Shirt</t>
  </si>
  <si>
    <t>Grocery   Rice</t>
  </si>
  <si>
    <t>Furniture   Chair</t>
  </si>
  <si>
    <t>Electronics   Tablet</t>
  </si>
  <si>
    <t>Clothing   Jeans</t>
  </si>
  <si>
    <t>Grocery   Oil</t>
  </si>
  <si>
    <t>Furniture   Table</t>
  </si>
  <si>
    <t>Electronics   Headphones</t>
  </si>
  <si>
    <t>Clothing   Jacket</t>
  </si>
  <si>
    <t>Grocery   Sugar</t>
  </si>
  <si>
    <t>Furniture   Sofa</t>
  </si>
  <si>
    <t>Clothing   T-shirt</t>
  </si>
  <si>
    <t>Grocery   Wheat</t>
  </si>
  <si>
    <t>Furniture   Bed</t>
  </si>
  <si>
    <t>Electronics         Mobile</t>
  </si>
  <si>
    <t>Grocery     Rice</t>
  </si>
  <si>
    <t>Furniture       Chair</t>
  </si>
  <si>
    <t>Electronics    and      Tablet</t>
  </si>
  <si>
    <t>Grocery        Oil</t>
  </si>
  <si>
    <t>Clothing         Jeans</t>
  </si>
  <si>
    <t>Furniture                          Table</t>
  </si>
  <si>
    <t>Electronics                 Headphones</t>
  </si>
  <si>
    <t>Furniture              Sofa</t>
  </si>
  <si>
    <t>Electronics            Laptop</t>
  </si>
  <si>
    <t>Clothing              T-shirt</t>
  </si>
  <si>
    <t>Furniture           Bed</t>
  </si>
  <si>
    <t>Clothing             Shirt</t>
  </si>
  <si>
    <t xml:space="preserve">                                              Using Trim Funstion</t>
  </si>
  <si>
    <t>Data Sorting</t>
  </si>
  <si>
    <t xml:space="preserve">Highest sales product </t>
  </si>
  <si>
    <t>Lowest sales Product</t>
  </si>
  <si>
    <t>Total Sales</t>
  </si>
  <si>
    <t>Total profit</t>
  </si>
  <si>
    <t>SUM</t>
  </si>
  <si>
    <t>AVERAGE</t>
  </si>
  <si>
    <t>V-Lookup</t>
  </si>
  <si>
    <t>X-Lookup</t>
  </si>
  <si>
    <t>Avg Sales</t>
  </si>
  <si>
    <t>Avg Profits</t>
  </si>
  <si>
    <t xml:space="preserve">Product </t>
  </si>
  <si>
    <t>Total Quty</t>
  </si>
  <si>
    <t>Cost</t>
  </si>
  <si>
    <t>Total Cost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</si>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</sst>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;\(0.00\)"/>
  </numFmts>
  <fonts count="39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rgb="FF7030A0"/>
      <name val="Arial"/>
      <family val="2"/>
      <scheme val="minor"/>
    </font>
    <font>
      <b/>
      <sz val="11"/>
      <color rgb="FF7030A0"/>
      <name val="Arial"/>
      <family val="2"/>
      <scheme val="minor"/>
    </font>
    <font>
      <b/>
      <sz val="18"/>
      <color rgb="FF7030A0"/>
      <name val="Arial"/>
      <family val="2"/>
      <scheme val="minor"/>
    </font>
    <font>
      <b/>
      <sz val="20"/>
      <color rgb="FF7030A0"/>
      <name val="Arial"/>
      <family val="2"/>
      <scheme val="minor"/>
    </font>
    <font>
      <b/>
      <sz val="22"/>
      <color theme="9" tint="-0.249977111117893"/>
      <name val="Arial"/>
      <family val="2"/>
      <scheme val="minor"/>
    </font>
    <font>
      <b/>
      <sz val="24"/>
      <color rgb="FFFF0000"/>
      <name val="Arial"/>
      <family val="2"/>
      <scheme val="minor"/>
    </font>
    <font>
      <b/>
      <sz val="14"/>
      <color rgb="FFC00000"/>
      <name val="Arial"/>
      <family val="2"/>
      <scheme val="minor"/>
    </font>
    <font>
      <b/>
      <sz val="18"/>
      <color rgb="FFC000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8"/>
      <color rgb="FFD60093"/>
      <name val="Arial"/>
      <family val="2"/>
      <scheme val="minor"/>
    </font>
    <font>
      <b/>
      <sz val="16"/>
      <color theme="9" tint="0.39997558519241921"/>
      <name val="Arial"/>
      <family val="2"/>
      <scheme val="minor"/>
    </font>
    <font>
      <b/>
      <sz val="14"/>
      <color theme="4" tint="0.39997558519241921"/>
      <name val="Arial"/>
      <family val="2"/>
      <scheme val="minor"/>
    </font>
    <font>
      <b/>
      <sz val="18"/>
      <color theme="7" tint="-0.499984740745262"/>
      <name val="Arial"/>
      <family val="2"/>
      <scheme val="minor"/>
    </font>
    <font>
      <b/>
      <sz val="16"/>
      <color theme="5" tint="-0.249977111117893"/>
      <name val="Arial"/>
      <family val="2"/>
      <scheme val="minor"/>
    </font>
    <font>
      <b/>
      <sz val="16"/>
      <color theme="9"/>
      <name val="Arial"/>
      <family val="2"/>
      <scheme val="minor"/>
    </font>
    <font>
      <b/>
      <sz val="16"/>
      <color rgb="FF00B0F0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2"/>
      <color rgb="FF9C0006"/>
      <name val="Arial"/>
      <family val="2"/>
      <scheme val="minor"/>
    </font>
    <font>
      <sz val="14"/>
      <color theme="0"/>
      <name val="Arial"/>
      <family val="2"/>
      <scheme val="minor"/>
    </font>
    <font>
      <sz val="14"/>
      <color rgb="FF9C0006"/>
      <name val="Arial"/>
      <family val="2"/>
      <scheme val="minor"/>
    </font>
    <font>
      <sz val="14"/>
      <color rgb="FF9C5700"/>
      <name val="Arial"/>
      <family val="2"/>
      <scheme val="minor"/>
    </font>
    <font>
      <b/>
      <sz val="12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4"/>
      <color rgb="FF3F3F76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double">
        <color theme="4"/>
      </bottom>
      <diagonal/>
    </border>
  </borders>
  <cellStyleXfs count="20">
    <xf numFmtId="0" fontId="0" fillId="0" borderId="0"/>
    <xf numFmtId="0" fontId="3" fillId="0" borderId="1" applyNumberFormat="0" applyFill="0" applyAlignment="0" applyProtection="0"/>
    <xf numFmtId="0" fontId="5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0" applyNumberFormat="0" applyBorder="0" applyAlignment="0" applyProtection="0"/>
    <xf numFmtId="43" fontId="4" fillId="0" borderId="0" applyFont="0" applyFill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2" applyNumberForma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6" borderId="0" applyNumberFormat="0" applyBorder="0" applyAlignment="0" applyProtection="0"/>
    <xf numFmtId="0" fontId="4" fillId="17" borderId="0" applyNumberFormat="0" applyBorder="0" applyAlignment="0" applyProtection="0"/>
    <xf numFmtId="0" fontId="4" fillId="7" borderId="0" applyNumberFormat="0" applyBorder="0" applyAlignment="0" applyProtection="0"/>
    <xf numFmtId="0" fontId="4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2" fillId="0" borderId="0" xfId="0" applyFont="1" applyAlignment="1">
      <alignment horizontal="left" vertical="center" wrapText="1" indent="2"/>
    </xf>
    <xf numFmtId="0" fontId="1" fillId="7" borderId="1" xfId="1" applyFont="1" applyFill="1" applyAlignment="1">
      <alignment vertical="center" wrapText="1"/>
    </xf>
    <xf numFmtId="14" fontId="1" fillId="7" borderId="1" xfId="1" applyNumberFormat="1" applyFont="1" applyFill="1" applyAlignment="1">
      <alignment horizontal="center" vertical="center" wrapText="1"/>
    </xf>
    <xf numFmtId="0" fontId="1" fillId="7" borderId="1" xfId="1" applyFont="1" applyFill="1" applyAlignment="1">
      <alignment horizontal="center" vertical="center" wrapText="1"/>
    </xf>
    <xf numFmtId="0" fontId="1" fillId="7" borderId="1" xfId="1" applyFont="1" applyFill="1" applyAlignment="1">
      <alignment horizontal="left" vertical="center" wrapText="1" indent="2"/>
    </xf>
    <xf numFmtId="0" fontId="4" fillId="3" borderId="1" xfId="3" applyBorder="1" applyAlignment="1">
      <alignment horizontal="center" vertical="center" wrapText="1"/>
    </xf>
    <xf numFmtId="0" fontId="4" fillId="3" borderId="1" xfId="3" applyBorder="1" applyAlignment="1">
      <alignment vertical="center" wrapText="1"/>
    </xf>
    <xf numFmtId="14" fontId="4" fillId="3" borderId="1" xfId="3" applyNumberFormat="1" applyBorder="1" applyAlignment="1">
      <alignment horizontal="center" vertical="center" wrapText="1"/>
    </xf>
    <xf numFmtId="0" fontId="4" fillId="3" borderId="1" xfId="3" applyBorder="1" applyAlignment="1">
      <alignment horizontal="left" vertical="center" wrapText="1" indent="2"/>
    </xf>
    <xf numFmtId="0" fontId="8" fillId="2" borderId="1" xfId="2" applyFont="1" applyBorder="1" applyAlignment="1">
      <alignment horizontal="center" vertical="center" wrapText="1"/>
    </xf>
    <xf numFmtId="0" fontId="7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4" fontId="12" fillId="0" borderId="0" xfId="0" applyNumberFormat="1" applyFont="1"/>
    <xf numFmtId="0" fontId="12" fillId="0" borderId="0" xfId="0" applyFont="1"/>
    <xf numFmtId="0" fontId="5" fillId="4" borderId="0" xfId="4" applyAlignment="1">
      <alignment horizontal="center" vertical="center" wrapText="1"/>
    </xf>
    <xf numFmtId="0" fontId="4" fillId="5" borderId="0" xfId="5" applyAlignment="1">
      <alignment vertical="center" wrapText="1"/>
    </xf>
    <xf numFmtId="14" fontId="4" fillId="5" borderId="0" xfId="5" applyNumberFormat="1"/>
    <xf numFmtId="0" fontId="4" fillId="5" borderId="0" xfId="5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0" xfId="0" applyAlignment="1">
      <alignment horizontal="left" indent="1"/>
    </xf>
    <xf numFmtId="0" fontId="6" fillId="0" borderId="1" xfId="1" applyFont="1" applyFill="1" applyAlignment="1">
      <alignment horizontal="center" vertical="center" wrapText="1"/>
    </xf>
    <xf numFmtId="0" fontId="1" fillId="0" borderId="1" xfId="1" applyFont="1" applyFill="1" applyAlignment="1">
      <alignment vertical="center" wrapText="1"/>
    </xf>
    <xf numFmtId="14" fontId="1" fillId="0" borderId="1" xfId="1" applyNumberFormat="1" applyFont="1" applyFill="1" applyAlignment="1">
      <alignment horizontal="center" vertical="center" wrapText="1"/>
    </xf>
    <xf numFmtId="0" fontId="1" fillId="0" borderId="1" xfId="1" applyFont="1" applyFill="1" applyAlignment="1">
      <alignment horizontal="center" vertical="center" wrapText="1"/>
    </xf>
    <xf numFmtId="0" fontId="1" fillId="0" borderId="1" xfId="1" applyFont="1" applyFill="1" applyAlignment="1">
      <alignment horizontal="left" vertical="center" wrapText="1" indent="2"/>
    </xf>
    <xf numFmtId="0" fontId="22" fillId="0" borderId="0" xfId="0" applyFont="1" applyAlignment="1">
      <alignment vertical="center" wrapText="1"/>
    </xf>
    <xf numFmtId="14" fontId="22" fillId="0" borderId="0" xfId="0" applyNumberFormat="1" applyFont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vertical="center" wrapText="1"/>
    </xf>
    <xf numFmtId="14" fontId="23" fillId="0" borderId="0" xfId="0" applyNumberFormat="1" applyFont="1" applyAlignment="1">
      <alignment vertical="center" wrapText="1"/>
    </xf>
    <xf numFmtId="0" fontId="20" fillId="13" borderId="0" xfId="12" applyFont="1" applyAlignment="1">
      <alignment horizontal="center" vertical="center" wrapText="1"/>
    </xf>
    <xf numFmtId="0" fontId="3" fillId="0" borderId="0" xfId="0" applyFont="1"/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1" fillId="6" borderId="0" xfId="16" applyFont="1"/>
    <xf numFmtId="0" fontId="21" fillId="8" borderId="0" xfId="7" applyFont="1"/>
    <xf numFmtId="164" fontId="0" fillId="0" borderId="0" xfId="0" applyNumberFormat="1"/>
    <xf numFmtId="43" fontId="21" fillId="15" borderId="0" xfId="6" applyFont="1" applyFill="1"/>
    <xf numFmtId="43" fontId="21" fillId="5" borderId="0" xfId="6" applyFont="1" applyFill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10" borderId="2" xfId="9" applyFont="1"/>
    <xf numFmtId="0" fontId="7" fillId="15" borderId="0" xfId="14" applyFont="1"/>
    <xf numFmtId="0" fontId="8" fillId="6" borderId="0" xfId="16" applyFont="1"/>
    <xf numFmtId="0" fontId="32" fillId="8" borderId="0" xfId="7" applyFont="1"/>
    <xf numFmtId="0" fontId="33" fillId="6" borderId="0" xfId="16" applyFont="1"/>
    <xf numFmtId="0" fontId="33" fillId="2" borderId="0" xfId="2" applyFont="1"/>
    <xf numFmtId="0" fontId="34" fillId="8" borderId="0" xfId="7" applyFont="1"/>
    <xf numFmtId="0" fontId="33" fillId="13" borderId="0" xfId="12" applyFont="1"/>
    <xf numFmtId="0" fontId="2" fillId="15" borderId="0" xfId="14" applyFont="1"/>
    <xf numFmtId="0" fontId="2" fillId="11" borderId="0" xfId="10" applyFont="1"/>
    <xf numFmtId="0" fontId="35" fillId="9" borderId="0" xfId="8" applyFont="1"/>
    <xf numFmtId="0" fontId="2" fillId="12" borderId="0" xfId="11" applyFont="1"/>
    <xf numFmtId="0" fontId="2" fillId="16" borderId="0" xfId="15" applyFont="1"/>
    <xf numFmtId="0" fontId="2" fillId="17" borderId="0" xfId="17" applyFont="1"/>
    <xf numFmtId="0" fontId="33" fillId="14" borderId="0" xfId="13" applyFont="1"/>
    <xf numFmtId="0" fontId="0" fillId="0" borderId="0" xfId="0" applyAlignment="1">
      <alignment horizontal="center"/>
    </xf>
    <xf numFmtId="0" fontId="0" fillId="0" borderId="3" xfId="0" applyBorder="1"/>
    <xf numFmtId="0" fontId="36" fillId="14" borderId="0" xfId="13" applyFont="1"/>
    <xf numFmtId="2" fontId="4" fillId="7" borderId="0" xfId="18" applyNumberFormat="1"/>
    <xf numFmtId="0" fontId="6" fillId="6" borderId="4" xfId="1" applyFont="1" applyFill="1" applyBorder="1" applyAlignment="1">
      <alignment horizontal="center" vertical="center" wrapText="1"/>
    </xf>
    <xf numFmtId="0" fontId="5" fillId="6" borderId="4" xfId="16" applyBorder="1" applyAlignment="1">
      <alignment horizontal="center" vertical="center" wrapText="1"/>
    </xf>
    <xf numFmtId="0" fontId="37" fillId="7" borderId="0" xfId="18" applyFont="1" applyAlignment="1">
      <alignment vertical="center" wrapText="1"/>
    </xf>
    <xf numFmtId="43" fontId="0" fillId="0" borderId="0" xfId="0" applyNumberFormat="1"/>
    <xf numFmtId="9" fontId="0" fillId="0" borderId="0" xfId="0" applyNumberFormat="1"/>
    <xf numFmtId="0" fontId="38" fillId="10" borderId="2" xfId="9" applyFont="1"/>
    <xf numFmtId="0" fontId="1" fillId="5" borderId="0" xfId="5" applyFont="1"/>
    <xf numFmtId="9" fontId="4" fillId="18" borderId="0" xfId="14" applyNumberFormat="1" applyFill="1"/>
  </cellXfs>
  <cellStyles count="20">
    <cellStyle name="40% - Accent5" xfId="15" builtinId="47"/>
    <cellStyle name="40% - Accent6" xfId="17" builtinId="51"/>
    <cellStyle name="60% - Accent1" xfId="10" builtinId="32"/>
    <cellStyle name="60% - Accent2" xfId="11" builtinId="36"/>
    <cellStyle name="60% - Accent3" xfId="3" builtinId="40"/>
    <cellStyle name="60% - Accent4" xfId="14" builtinId="44"/>
    <cellStyle name="60% - Accent5" xfId="5" builtinId="48"/>
    <cellStyle name="60% - Accent6" xfId="18" builtinId="52"/>
    <cellStyle name="Accent1" xfId="2" builtinId="29"/>
    <cellStyle name="Accent3" xfId="12" builtinId="37"/>
    <cellStyle name="Accent4" xfId="13" builtinId="41"/>
    <cellStyle name="Accent5" xfId="4" builtinId="45"/>
    <cellStyle name="Accent6" xfId="16" builtinId="49"/>
    <cellStyle name="Bad" xfId="7" builtinId="27"/>
    <cellStyle name="Comma" xfId="6" builtinId="3"/>
    <cellStyle name="Input" xfId="9" builtinId="20"/>
    <cellStyle name="Neutral" xfId="8" builtinId="28"/>
    <cellStyle name="Normal" xfId="0" builtinId="0"/>
    <cellStyle name="Style 1" xfId="19" xr:uid="{2932FBDE-7DED-4F5B-A75D-C6A014A6C28D}"/>
    <cellStyle name="Total" xfId="1" builtinId="25"/>
  </cellStyles>
  <dxfs count="24"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numFmt numFmtId="19" formatCode="dd/mm/yy"/>
    </dxf>
    <dxf>
      <numFmt numFmtId="19" formatCode="dd/mm/yy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center" textRotation="0" wrapText="1" indent="2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19" formatCode="dd/mm/yy"/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double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0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Project.xlsx]Data Visualization!PivotTable1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091999299744568E-2"/>
          <c:y val="0.20811490492956636"/>
          <c:w val="0.76884184685887236"/>
          <c:h val="0.671865043737058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Visualization'!$B$3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'Data Visualization'!$A$4:$A$8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'Data Visualization'!$B$4:$B$8</c:f>
              <c:numCache>
                <c:formatCode>General</c:formatCode>
                <c:ptCount val="4"/>
                <c:pt idx="0">
                  <c:v>110500</c:v>
                </c:pt>
                <c:pt idx="1">
                  <c:v>1053300</c:v>
                </c:pt>
                <c:pt idx="2">
                  <c:v>347300</c:v>
                </c:pt>
                <c:pt idx="3">
                  <c:v>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4-4F4E-94FE-13E260225133}"/>
            </c:ext>
          </c:extLst>
        </c:ser>
        <c:ser>
          <c:idx val="1"/>
          <c:order val="1"/>
          <c:tx>
            <c:strRef>
              <c:f>'Data Visualization'!$C$3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'Data Visualization'!$A$4:$A$8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'Data Visualization'!$C$4:$C$8</c:f>
              <c:numCache>
                <c:formatCode>General</c:formatCode>
                <c:ptCount val="4"/>
                <c:pt idx="0">
                  <c:v>22100</c:v>
                </c:pt>
                <c:pt idx="1">
                  <c:v>210660</c:v>
                </c:pt>
                <c:pt idx="2">
                  <c:v>69460</c:v>
                </c:pt>
                <c:pt idx="3">
                  <c:v>13125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A4-4F4E-94FE-13E260225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3486495"/>
        <c:axId val="1743494815"/>
      </c:barChart>
      <c:catAx>
        <c:axId val="174348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494815"/>
        <c:crosses val="autoZero"/>
        <c:auto val="1"/>
        <c:lblAlgn val="ctr"/>
        <c:lblOffset val="100"/>
        <c:noMultiLvlLbl val="0"/>
      </c:catAx>
      <c:valAx>
        <c:axId val="174349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48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Project.xlsx]Data Visualization!PivotTable2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 Visualization'!$B$18</c:f>
              <c:strCache>
                <c:ptCount val="1"/>
                <c:pt idx="0">
                  <c:v>Sum of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235-40BD-8F86-0C323D1CF5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235-40BD-8F86-0C323D1CF5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235-40BD-8F86-0C323D1CF5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235-40BD-8F86-0C323D1CF5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235-40BD-8F86-0C323D1CF5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235-40BD-8F86-0C323D1CF5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235-40BD-8F86-0C323D1CF5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235-40BD-8F86-0C323D1CF5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235-40BD-8F86-0C323D1CF5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235-40BD-8F86-0C323D1CF5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235-40BD-8F86-0C323D1CF5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235-40BD-8F86-0C323D1CF58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235-40BD-8F86-0C323D1CF58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235-40BD-8F86-0C323D1CF58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235-40BD-8F86-0C323D1CF58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235-40BD-8F86-0C323D1CF5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Visualization'!$A$19:$A$35</c:f>
              <c:strCache>
                <c:ptCount val="16"/>
                <c:pt idx="0">
                  <c:v>Bed</c:v>
                </c:pt>
                <c:pt idx="1">
                  <c:v>Chair</c:v>
                </c:pt>
                <c:pt idx="2">
                  <c:v>Headphones</c:v>
                </c:pt>
                <c:pt idx="3">
                  <c:v>Jacket</c:v>
                </c:pt>
                <c:pt idx="4">
                  <c:v>Jeans</c:v>
                </c:pt>
                <c:pt idx="5">
                  <c:v>Laptop</c:v>
                </c:pt>
                <c:pt idx="6">
                  <c:v>Mobile</c:v>
                </c:pt>
                <c:pt idx="7">
                  <c:v>Oil</c:v>
                </c:pt>
                <c:pt idx="8">
                  <c:v>Rice</c:v>
                </c:pt>
                <c:pt idx="9">
                  <c:v>Shirt</c:v>
                </c:pt>
                <c:pt idx="10">
                  <c:v>Sofa</c:v>
                </c:pt>
                <c:pt idx="11">
                  <c:v>Sugar</c:v>
                </c:pt>
                <c:pt idx="12">
                  <c:v>Table</c:v>
                </c:pt>
                <c:pt idx="13">
                  <c:v>Tablet</c:v>
                </c:pt>
                <c:pt idx="14">
                  <c:v>T-shirt</c:v>
                </c:pt>
                <c:pt idx="15">
                  <c:v>Wheat</c:v>
                </c:pt>
              </c:strCache>
            </c:strRef>
          </c:cat>
          <c:val>
            <c:numRef>
              <c:f>'Data Visualization'!$B$19:$B$35</c:f>
              <c:numCache>
                <c:formatCode>General</c:formatCode>
                <c:ptCount val="16"/>
                <c:pt idx="0">
                  <c:v>160000</c:v>
                </c:pt>
                <c:pt idx="1">
                  <c:v>12600</c:v>
                </c:pt>
                <c:pt idx="2">
                  <c:v>15500</c:v>
                </c:pt>
                <c:pt idx="3">
                  <c:v>17600</c:v>
                </c:pt>
                <c:pt idx="4">
                  <c:v>10400</c:v>
                </c:pt>
                <c:pt idx="5">
                  <c:v>458000</c:v>
                </c:pt>
                <c:pt idx="6">
                  <c:v>155000</c:v>
                </c:pt>
                <c:pt idx="7">
                  <c:v>770</c:v>
                </c:pt>
                <c:pt idx="8">
                  <c:v>595</c:v>
                </c:pt>
                <c:pt idx="9">
                  <c:v>9000</c:v>
                </c:pt>
                <c:pt idx="10">
                  <c:v>104000</c:v>
                </c:pt>
                <c:pt idx="11">
                  <c:v>238</c:v>
                </c:pt>
                <c:pt idx="12">
                  <c:v>31200</c:v>
                </c:pt>
                <c:pt idx="13">
                  <c:v>86000</c:v>
                </c:pt>
                <c:pt idx="14">
                  <c:v>3800</c:v>
                </c:pt>
                <c:pt idx="1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4-4692-9788-9385F71C62F1}"/>
            </c:ext>
          </c:extLst>
        </c:ser>
        <c:ser>
          <c:idx val="1"/>
          <c:order val="1"/>
          <c:tx>
            <c:strRef>
              <c:f>'Data Visualization'!$C$18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235-40BD-8F86-0C323D1CF5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5235-40BD-8F86-0C323D1CF5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5235-40BD-8F86-0C323D1CF5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5235-40BD-8F86-0C323D1CF5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5235-40BD-8F86-0C323D1CF5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5235-40BD-8F86-0C323D1CF5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5235-40BD-8F86-0C323D1CF5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5235-40BD-8F86-0C323D1CF5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5235-40BD-8F86-0C323D1CF5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5235-40BD-8F86-0C323D1CF5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5235-40BD-8F86-0C323D1CF5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5235-40BD-8F86-0C323D1CF58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5235-40BD-8F86-0C323D1CF58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5235-40BD-8F86-0C323D1CF58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5235-40BD-8F86-0C323D1CF58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5235-40BD-8F86-0C323D1CF5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Visualization'!$A$19:$A$35</c:f>
              <c:strCache>
                <c:ptCount val="16"/>
                <c:pt idx="0">
                  <c:v>Bed</c:v>
                </c:pt>
                <c:pt idx="1">
                  <c:v>Chair</c:v>
                </c:pt>
                <c:pt idx="2">
                  <c:v>Headphones</c:v>
                </c:pt>
                <c:pt idx="3">
                  <c:v>Jacket</c:v>
                </c:pt>
                <c:pt idx="4">
                  <c:v>Jeans</c:v>
                </c:pt>
                <c:pt idx="5">
                  <c:v>Laptop</c:v>
                </c:pt>
                <c:pt idx="6">
                  <c:v>Mobile</c:v>
                </c:pt>
                <c:pt idx="7">
                  <c:v>Oil</c:v>
                </c:pt>
                <c:pt idx="8">
                  <c:v>Rice</c:v>
                </c:pt>
                <c:pt idx="9">
                  <c:v>Shirt</c:v>
                </c:pt>
                <c:pt idx="10">
                  <c:v>Sofa</c:v>
                </c:pt>
                <c:pt idx="11">
                  <c:v>Sugar</c:v>
                </c:pt>
                <c:pt idx="12">
                  <c:v>Table</c:v>
                </c:pt>
                <c:pt idx="13">
                  <c:v>Tablet</c:v>
                </c:pt>
                <c:pt idx="14">
                  <c:v>T-shirt</c:v>
                </c:pt>
                <c:pt idx="15">
                  <c:v>Wheat</c:v>
                </c:pt>
              </c:strCache>
            </c:strRef>
          </c:cat>
          <c:val>
            <c:numRef>
              <c:f>'Data Visualization'!$C$19:$C$35</c:f>
              <c:numCache>
                <c:formatCode>General</c:formatCode>
                <c:ptCount val="16"/>
                <c:pt idx="0">
                  <c:v>160000</c:v>
                </c:pt>
                <c:pt idx="1">
                  <c:v>40100</c:v>
                </c:pt>
                <c:pt idx="2">
                  <c:v>46300</c:v>
                </c:pt>
                <c:pt idx="3">
                  <c:v>31600</c:v>
                </c:pt>
                <c:pt idx="4">
                  <c:v>24800</c:v>
                </c:pt>
                <c:pt idx="5">
                  <c:v>568000</c:v>
                </c:pt>
                <c:pt idx="6">
                  <c:v>285000</c:v>
                </c:pt>
                <c:pt idx="7">
                  <c:v>16150</c:v>
                </c:pt>
                <c:pt idx="8">
                  <c:v>24100</c:v>
                </c:pt>
                <c:pt idx="9">
                  <c:v>34450</c:v>
                </c:pt>
                <c:pt idx="10">
                  <c:v>104000</c:v>
                </c:pt>
                <c:pt idx="11">
                  <c:v>12350</c:v>
                </c:pt>
                <c:pt idx="12">
                  <c:v>43200</c:v>
                </c:pt>
                <c:pt idx="13">
                  <c:v>154000</c:v>
                </c:pt>
                <c:pt idx="14">
                  <c:v>19650</c:v>
                </c:pt>
                <c:pt idx="15">
                  <c:v>13025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4-4692-9788-9385F71C62F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Project.xlsx]Data Visualization!PivotTable3</c:name>
    <c:fmtId val="3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552559625334864E-2"/>
          <c:y val="0.23355086420490603"/>
          <c:w val="0.84765439547641142"/>
          <c:h val="0.53239122811093298"/>
        </c:manualLayout>
      </c:layout>
      <c:lineChart>
        <c:grouping val="standard"/>
        <c:varyColors val="0"/>
        <c:ser>
          <c:idx val="0"/>
          <c:order val="0"/>
          <c:tx>
            <c:strRef>
              <c:f>'Data Visualization'!$B$38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'Data Visualization'!$A$39:$A$44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'Data Visualization'!$B$39:$B$44</c:f>
              <c:numCache>
                <c:formatCode>General</c:formatCode>
                <c:ptCount val="5"/>
                <c:pt idx="0">
                  <c:v>259000</c:v>
                </c:pt>
                <c:pt idx="1">
                  <c:v>173500</c:v>
                </c:pt>
                <c:pt idx="2">
                  <c:v>532225</c:v>
                </c:pt>
                <c:pt idx="3">
                  <c:v>431325</c:v>
                </c:pt>
                <c:pt idx="4">
                  <c:v>180675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2-48B7-9D84-79F1C3A5B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144303"/>
        <c:axId val="2083145967"/>
      </c:lineChart>
      <c:catAx>
        <c:axId val="208314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145967"/>
        <c:crosses val="autoZero"/>
        <c:auto val="1"/>
        <c:lblAlgn val="ctr"/>
        <c:lblOffset val="100"/>
        <c:noMultiLvlLbl val="0"/>
      </c:catAx>
      <c:valAx>
        <c:axId val="208314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14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Project.xlsx]Data Visualization!PivotTable18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Visualization'!$B$46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'Data Visualization'!$A$47:$A$117</c:f>
              <c:multiLvlStrCache>
                <c:ptCount val="54"/>
                <c:lvl>
                  <c:pt idx="0">
                    <c:v>Delhi</c:v>
                  </c:pt>
                  <c:pt idx="1">
                    <c:v>Kochi</c:v>
                  </c:pt>
                  <c:pt idx="2">
                    <c:v>Vellore</c:v>
                  </c:pt>
                  <c:pt idx="3">
                    <c:v>Bangalore</c:v>
                  </c:pt>
                  <c:pt idx="4">
                    <c:v>Chennai</c:v>
                  </c:pt>
                  <c:pt idx="5">
                    <c:v>Kochi</c:v>
                  </c:pt>
                  <c:pt idx="6">
                    <c:v>Bangalore</c:v>
                  </c:pt>
                  <c:pt idx="7">
                    <c:v>Chennai</c:v>
                  </c:pt>
                  <c:pt idx="8">
                    <c:v>Kochi</c:v>
                  </c:pt>
                  <c:pt idx="9">
                    <c:v>Bangalore</c:v>
                  </c:pt>
                  <c:pt idx="10">
                    <c:v>Kochi</c:v>
                  </c:pt>
                  <c:pt idx="11">
                    <c:v>Vellore</c:v>
                  </c:pt>
                  <c:pt idx="12">
                    <c:v>Chennai</c:v>
                  </c:pt>
                  <c:pt idx="13">
                    <c:v>Delhi</c:v>
                  </c:pt>
                  <c:pt idx="14">
                    <c:v>Kochi</c:v>
                  </c:pt>
                  <c:pt idx="15">
                    <c:v>Vellore</c:v>
                  </c:pt>
                  <c:pt idx="16">
                    <c:v>Bangalore</c:v>
                  </c:pt>
                  <c:pt idx="17">
                    <c:v>Chennai</c:v>
                  </c:pt>
                  <c:pt idx="18">
                    <c:v>Delhi</c:v>
                  </c:pt>
                  <c:pt idx="19">
                    <c:v>Chennai</c:v>
                  </c:pt>
                  <c:pt idx="20">
                    <c:v>Delhi</c:v>
                  </c:pt>
                  <c:pt idx="21">
                    <c:v>Kochi</c:v>
                  </c:pt>
                  <c:pt idx="22">
                    <c:v>Vellore</c:v>
                  </c:pt>
                  <c:pt idx="23">
                    <c:v>Bangalore</c:v>
                  </c:pt>
                  <c:pt idx="24">
                    <c:v>Chennai</c:v>
                  </c:pt>
                  <c:pt idx="25">
                    <c:v>Delhi</c:v>
                  </c:pt>
                  <c:pt idx="26">
                    <c:v>Kochi</c:v>
                  </c:pt>
                  <c:pt idx="27">
                    <c:v>Vellore</c:v>
                  </c:pt>
                  <c:pt idx="28">
                    <c:v>Chennai</c:v>
                  </c:pt>
                  <c:pt idx="29">
                    <c:v>Delhi</c:v>
                  </c:pt>
                  <c:pt idx="30">
                    <c:v>Kochi</c:v>
                  </c:pt>
                  <c:pt idx="31">
                    <c:v>Vellore</c:v>
                  </c:pt>
                  <c:pt idx="32">
                    <c:v>Bangalore</c:v>
                  </c:pt>
                  <c:pt idx="33">
                    <c:v>Delhi</c:v>
                  </c:pt>
                  <c:pt idx="34">
                    <c:v>Kochi</c:v>
                  </c:pt>
                  <c:pt idx="35">
                    <c:v>Vellore</c:v>
                  </c:pt>
                  <c:pt idx="36">
                    <c:v>Chennai</c:v>
                  </c:pt>
                  <c:pt idx="37">
                    <c:v>Delhi</c:v>
                  </c:pt>
                  <c:pt idx="38">
                    <c:v>Vellore</c:v>
                  </c:pt>
                  <c:pt idx="39">
                    <c:v>Delhi</c:v>
                  </c:pt>
                  <c:pt idx="40">
                    <c:v>Kochi</c:v>
                  </c:pt>
                  <c:pt idx="41">
                    <c:v>Vellore</c:v>
                  </c:pt>
                  <c:pt idx="42">
                    <c:v>Bangalore</c:v>
                  </c:pt>
                  <c:pt idx="43">
                    <c:v>Chennai</c:v>
                  </c:pt>
                  <c:pt idx="44">
                    <c:v>Delhi</c:v>
                  </c:pt>
                  <c:pt idx="45">
                    <c:v>Bangalore</c:v>
                  </c:pt>
                  <c:pt idx="46">
                    <c:v>Chennai</c:v>
                  </c:pt>
                  <c:pt idx="47">
                    <c:v>Kochi</c:v>
                  </c:pt>
                  <c:pt idx="48">
                    <c:v>Bangalore</c:v>
                  </c:pt>
                  <c:pt idx="49">
                    <c:v>Chennai</c:v>
                  </c:pt>
                  <c:pt idx="50">
                    <c:v>Kochi</c:v>
                  </c:pt>
                  <c:pt idx="51">
                    <c:v>Bangalore</c:v>
                  </c:pt>
                  <c:pt idx="52">
                    <c:v>Kochi</c:v>
                  </c:pt>
                  <c:pt idx="53">
                    <c:v>Vellore</c:v>
                  </c:pt>
                </c:lvl>
                <c:lvl>
                  <c:pt idx="0">
                    <c:v>Bed</c:v>
                  </c:pt>
                  <c:pt idx="3">
                    <c:v>Chair</c:v>
                  </c:pt>
                  <c:pt idx="6">
                    <c:v>Headphones</c:v>
                  </c:pt>
                  <c:pt idx="9">
                    <c:v>Jacket</c:v>
                  </c:pt>
                  <c:pt idx="12">
                    <c:v>Jeans</c:v>
                  </c:pt>
                  <c:pt idx="16">
                    <c:v>Laptop</c:v>
                  </c:pt>
                  <c:pt idx="19">
                    <c:v>Mobile</c:v>
                  </c:pt>
                  <c:pt idx="23">
                    <c:v>Oil</c:v>
                  </c:pt>
                  <c:pt idx="28">
                    <c:v>Rice</c:v>
                  </c:pt>
                  <c:pt idx="32">
                    <c:v>Shirt</c:v>
                  </c:pt>
                  <c:pt idx="36">
                    <c:v>Sofa</c:v>
                  </c:pt>
                  <c:pt idx="39">
                    <c:v>Sugar</c:v>
                  </c:pt>
                  <c:pt idx="42">
                    <c:v>Table</c:v>
                  </c:pt>
                  <c:pt idx="45">
                    <c:v>Tablet</c:v>
                  </c:pt>
                  <c:pt idx="48">
                    <c:v>T-shirt</c:v>
                  </c:pt>
                  <c:pt idx="51">
                    <c:v>Wheat</c:v>
                  </c:pt>
                </c:lvl>
              </c:multiLvlStrCache>
            </c:multiLvlStrRef>
          </c:cat>
          <c:val>
            <c:numRef>
              <c:f>'Data Visualization'!$B$47:$B$117</c:f>
              <c:numCache>
                <c:formatCode>General</c:formatCode>
                <c:ptCount val="54"/>
                <c:pt idx="0">
                  <c:v>34000</c:v>
                </c:pt>
                <c:pt idx="1">
                  <c:v>93000</c:v>
                </c:pt>
                <c:pt idx="2">
                  <c:v>33000</c:v>
                </c:pt>
                <c:pt idx="3">
                  <c:v>7500</c:v>
                </c:pt>
                <c:pt idx="4">
                  <c:v>27400</c:v>
                </c:pt>
                <c:pt idx="5">
                  <c:v>5200</c:v>
                </c:pt>
                <c:pt idx="6">
                  <c:v>18300</c:v>
                </c:pt>
                <c:pt idx="7">
                  <c:v>21600</c:v>
                </c:pt>
                <c:pt idx="8">
                  <c:v>6400</c:v>
                </c:pt>
                <c:pt idx="9">
                  <c:v>14200</c:v>
                </c:pt>
                <c:pt idx="10">
                  <c:v>6800</c:v>
                </c:pt>
                <c:pt idx="11">
                  <c:v>10600</c:v>
                </c:pt>
                <c:pt idx="12">
                  <c:v>4400</c:v>
                </c:pt>
                <c:pt idx="13">
                  <c:v>4200</c:v>
                </c:pt>
                <c:pt idx="14">
                  <c:v>10200</c:v>
                </c:pt>
                <c:pt idx="15">
                  <c:v>6000</c:v>
                </c:pt>
                <c:pt idx="16">
                  <c:v>334000</c:v>
                </c:pt>
                <c:pt idx="17">
                  <c:v>60000</c:v>
                </c:pt>
                <c:pt idx="18">
                  <c:v>174000</c:v>
                </c:pt>
                <c:pt idx="19">
                  <c:v>22000</c:v>
                </c:pt>
                <c:pt idx="20">
                  <c:v>23000</c:v>
                </c:pt>
                <c:pt idx="21">
                  <c:v>102000</c:v>
                </c:pt>
                <c:pt idx="22">
                  <c:v>138000</c:v>
                </c:pt>
                <c:pt idx="23">
                  <c:v>3100</c:v>
                </c:pt>
                <c:pt idx="24">
                  <c:v>3200</c:v>
                </c:pt>
                <c:pt idx="25">
                  <c:v>3750</c:v>
                </c:pt>
                <c:pt idx="26">
                  <c:v>3100</c:v>
                </c:pt>
                <c:pt idx="27">
                  <c:v>3000</c:v>
                </c:pt>
                <c:pt idx="28">
                  <c:v>10125</c:v>
                </c:pt>
                <c:pt idx="29">
                  <c:v>7400</c:v>
                </c:pt>
                <c:pt idx="30">
                  <c:v>3600</c:v>
                </c:pt>
                <c:pt idx="31">
                  <c:v>2975</c:v>
                </c:pt>
                <c:pt idx="32">
                  <c:v>4800</c:v>
                </c:pt>
                <c:pt idx="33">
                  <c:v>13450</c:v>
                </c:pt>
                <c:pt idx="34">
                  <c:v>5000</c:v>
                </c:pt>
                <c:pt idx="35">
                  <c:v>11200</c:v>
                </c:pt>
                <c:pt idx="36">
                  <c:v>22000</c:v>
                </c:pt>
                <c:pt idx="37">
                  <c:v>21000</c:v>
                </c:pt>
                <c:pt idx="38">
                  <c:v>61000</c:v>
                </c:pt>
                <c:pt idx="39">
                  <c:v>4400</c:v>
                </c:pt>
                <c:pt idx="40">
                  <c:v>2700</c:v>
                </c:pt>
                <c:pt idx="41">
                  <c:v>5250</c:v>
                </c:pt>
                <c:pt idx="42">
                  <c:v>6500</c:v>
                </c:pt>
                <c:pt idx="43">
                  <c:v>6200</c:v>
                </c:pt>
                <c:pt idx="44">
                  <c:v>30500</c:v>
                </c:pt>
                <c:pt idx="45">
                  <c:v>70000</c:v>
                </c:pt>
                <c:pt idx="46">
                  <c:v>34000</c:v>
                </c:pt>
                <c:pt idx="47">
                  <c:v>50000</c:v>
                </c:pt>
                <c:pt idx="48">
                  <c:v>4500</c:v>
                </c:pt>
                <c:pt idx="49">
                  <c:v>11950</c:v>
                </c:pt>
                <c:pt idx="50">
                  <c:v>3200</c:v>
                </c:pt>
                <c:pt idx="51">
                  <c:v>8000</c:v>
                </c:pt>
                <c:pt idx="52">
                  <c:v>2100</c:v>
                </c:pt>
                <c:pt idx="53">
                  <c:v>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9-4246-8B5C-AD978C1FD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6923023"/>
        <c:axId val="936927183"/>
      </c:barChart>
      <c:catAx>
        <c:axId val="93692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927183"/>
        <c:crosses val="autoZero"/>
        <c:auto val="1"/>
        <c:lblAlgn val="ctr"/>
        <c:lblOffset val="100"/>
        <c:noMultiLvlLbl val="0"/>
      </c:catAx>
      <c:valAx>
        <c:axId val="93692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92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Project.xlsx]Data Visualization!PivotTable2</c:name>
    <c:fmtId val="23"/>
  </c:pivotSource>
  <c:chart>
    <c:title>
      <c:layout>
        <c:manualLayout>
          <c:xMode val="edge"/>
          <c:yMode val="edge"/>
          <c:x val="0.51723740157480314"/>
          <c:y val="6.4467083377632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059383202099738"/>
          <c:y val="0.11383305463150005"/>
          <c:w val="0.48640131233595801"/>
          <c:h val="0.75926081841443749"/>
        </c:manualLayout>
      </c:layout>
      <c:pieChart>
        <c:varyColors val="1"/>
        <c:ser>
          <c:idx val="0"/>
          <c:order val="0"/>
          <c:tx>
            <c:strRef>
              <c:f>'Data Visualization'!$B$18</c:f>
              <c:strCache>
                <c:ptCount val="1"/>
                <c:pt idx="0">
                  <c:v>Sum of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7E-4C00-834B-A2DABA3CEF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7E-4C00-834B-A2DABA3CEF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7E-4C00-834B-A2DABA3CEF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17E-4C00-834B-A2DABA3CEF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17E-4C00-834B-A2DABA3CEFFD}"/>
              </c:ext>
            </c:extLst>
          </c:dPt>
          <c:dPt>
            <c:idx val="5"/>
            <c:bubble3D val="0"/>
            <c:explosion val="16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17E-4C00-834B-A2DABA3CEF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17E-4C00-834B-A2DABA3CEFF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17E-4C00-834B-A2DABA3CEF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17E-4C00-834B-A2DABA3CEFF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17E-4C00-834B-A2DABA3CEFF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17E-4C00-834B-A2DABA3CEFF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17E-4C00-834B-A2DABA3CEFF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17E-4C00-834B-A2DABA3CEFF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17E-4C00-834B-A2DABA3CEFF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17E-4C00-834B-A2DABA3CEFF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17E-4C00-834B-A2DABA3CEF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Visualization'!$A$19:$A$35</c:f>
              <c:strCache>
                <c:ptCount val="16"/>
                <c:pt idx="0">
                  <c:v>Bed</c:v>
                </c:pt>
                <c:pt idx="1">
                  <c:v>Chair</c:v>
                </c:pt>
                <c:pt idx="2">
                  <c:v>Headphones</c:v>
                </c:pt>
                <c:pt idx="3">
                  <c:v>Jacket</c:v>
                </c:pt>
                <c:pt idx="4">
                  <c:v>Jeans</c:v>
                </c:pt>
                <c:pt idx="5">
                  <c:v>Laptop</c:v>
                </c:pt>
                <c:pt idx="6">
                  <c:v>Mobile</c:v>
                </c:pt>
                <c:pt idx="7">
                  <c:v>Oil</c:v>
                </c:pt>
                <c:pt idx="8">
                  <c:v>Rice</c:v>
                </c:pt>
                <c:pt idx="9">
                  <c:v>Shirt</c:v>
                </c:pt>
                <c:pt idx="10">
                  <c:v>Sofa</c:v>
                </c:pt>
                <c:pt idx="11">
                  <c:v>Sugar</c:v>
                </c:pt>
                <c:pt idx="12">
                  <c:v>Table</c:v>
                </c:pt>
                <c:pt idx="13">
                  <c:v>Tablet</c:v>
                </c:pt>
                <c:pt idx="14">
                  <c:v>T-shirt</c:v>
                </c:pt>
                <c:pt idx="15">
                  <c:v>Wheat</c:v>
                </c:pt>
              </c:strCache>
            </c:strRef>
          </c:cat>
          <c:val>
            <c:numRef>
              <c:f>'Data Visualization'!$B$19:$B$35</c:f>
              <c:numCache>
                <c:formatCode>General</c:formatCode>
                <c:ptCount val="16"/>
                <c:pt idx="0">
                  <c:v>160000</c:v>
                </c:pt>
                <c:pt idx="1">
                  <c:v>12600</c:v>
                </c:pt>
                <c:pt idx="2">
                  <c:v>15500</c:v>
                </c:pt>
                <c:pt idx="3">
                  <c:v>17600</c:v>
                </c:pt>
                <c:pt idx="4">
                  <c:v>10400</c:v>
                </c:pt>
                <c:pt idx="5">
                  <c:v>458000</c:v>
                </c:pt>
                <c:pt idx="6">
                  <c:v>155000</c:v>
                </c:pt>
                <c:pt idx="7">
                  <c:v>770</c:v>
                </c:pt>
                <c:pt idx="8">
                  <c:v>595</c:v>
                </c:pt>
                <c:pt idx="9">
                  <c:v>9000</c:v>
                </c:pt>
                <c:pt idx="10">
                  <c:v>104000</c:v>
                </c:pt>
                <c:pt idx="11">
                  <c:v>238</c:v>
                </c:pt>
                <c:pt idx="12">
                  <c:v>31200</c:v>
                </c:pt>
                <c:pt idx="13">
                  <c:v>86000</c:v>
                </c:pt>
                <c:pt idx="14">
                  <c:v>3800</c:v>
                </c:pt>
                <c:pt idx="1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17E-4C00-834B-A2DABA3CEFFD}"/>
            </c:ext>
          </c:extLst>
        </c:ser>
        <c:ser>
          <c:idx val="1"/>
          <c:order val="1"/>
          <c:tx>
            <c:strRef>
              <c:f>'Data Visualization'!$C$18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417E-4C00-834B-A2DABA3CEF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417E-4C00-834B-A2DABA3CEF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417E-4C00-834B-A2DABA3CEF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417E-4C00-834B-A2DABA3CEF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417E-4C00-834B-A2DABA3CEF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417E-4C00-834B-A2DABA3CEF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417E-4C00-834B-A2DABA3CEFF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417E-4C00-834B-A2DABA3CEF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417E-4C00-834B-A2DABA3CEFF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417E-4C00-834B-A2DABA3CEFF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417E-4C00-834B-A2DABA3CEFF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417E-4C00-834B-A2DABA3CEFF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417E-4C00-834B-A2DABA3CEFF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417E-4C00-834B-A2DABA3CEFF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417E-4C00-834B-A2DABA3CEFF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417E-4C00-834B-A2DABA3CEF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Visualization'!$A$19:$A$35</c:f>
              <c:strCache>
                <c:ptCount val="16"/>
                <c:pt idx="0">
                  <c:v>Bed</c:v>
                </c:pt>
                <c:pt idx="1">
                  <c:v>Chair</c:v>
                </c:pt>
                <c:pt idx="2">
                  <c:v>Headphones</c:v>
                </c:pt>
                <c:pt idx="3">
                  <c:v>Jacket</c:v>
                </c:pt>
                <c:pt idx="4">
                  <c:v>Jeans</c:v>
                </c:pt>
                <c:pt idx="5">
                  <c:v>Laptop</c:v>
                </c:pt>
                <c:pt idx="6">
                  <c:v>Mobile</c:v>
                </c:pt>
                <c:pt idx="7">
                  <c:v>Oil</c:v>
                </c:pt>
                <c:pt idx="8">
                  <c:v>Rice</c:v>
                </c:pt>
                <c:pt idx="9">
                  <c:v>Shirt</c:v>
                </c:pt>
                <c:pt idx="10">
                  <c:v>Sofa</c:v>
                </c:pt>
                <c:pt idx="11">
                  <c:v>Sugar</c:v>
                </c:pt>
                <c:pt idx="12">
                  <c:v>Table</c:v>
                </c:pt>
                <c:pt idx="13">
                  <c:v>Tablet</c:v>
                </c:pt>
                <c:pt idx="14">
                  <c:v>T-shirt</c:v>
                </c:pt>
                <c:pt idx="15">
                  <c:v>Wheat</c:v>
                </c:pt>
              </c:strCache>
            </c:strRef>
          </c:cat>
          <c:val>
            <c:numRef>
              <c:f>'Data Visualization'!$C$19:$C$35</c:f>
              <c:numCache>
                <c:formatCode>General</c:formatCode>
                <c:ptCount val="16"/>
                <c:pt idx="0">
                  <c:v>160000</c:v>
                </c:pt>
                <c:pt idx="1">
                  <c:v>40100</c:v>
                </c:pt>
                <c:pt idx="2">
                  <c:v>46300</c:v>
                </c:pt>
                <c:pt idx="3">
                  <c:v>31600</c:v>
                </c:pt>
                <c:pt idx="4">
                  <c:v>24800</c:v>
                </c:pt>
                <c:pt idx="5">
                  <c:v>568000</c:v>
                </c:pt>
                <c:pt idx="6">
                  <c:v>285000</c:v>
                </c:pt>
                <c:pt idx="7">
                  <c:v>16150</c:v>
                </c:pt>
                <c:pt idx="8">
                  <c:v>24100</c:v>
                </c:pt>
                <c:pt idx="9">
                  <c:v>34450</c:v>
                </c:pt>
                <c:pt idx="10">
                  <c:v>104000</c:v>
                </c:pt>
                <c:pt idx="11">
                  <c:v>12350</c:v>
                </c:pt>
                <c:pt idx="12">
                  <c:v>43200</c:v>
                </c:pt>
                <c:pt idx="13">
                  <c:v>154000</c:v>
                </c:pt>
                <c:pt idx="14">
                  <c:v>19650</c:v>
                </c:pt>
                <c:pt idx="15">
                  <c:v>13025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417E-4C00-834B-A2DABA3CEFF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925564304461945"/>
          <c:y val="0.12187781736211019"/>
          <c:w val="0.24074435695538057"/>
          <c:h val="0.77145548319482227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Project.xlsx]Data Visualization!PivotTable1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03424828905732"/>
          <c:y val="0.10132841235734844"/>
          <c:w val="0.76884184685887236"/>
          <c:h val="0.671865043737058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Visualization'!$B$3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'Data Visualization'!$A$4:$A$8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'Data Visualization'!$B$4:$B$8</c:f>
              <c:numCache>
                <c:formatCode>General</c:formatCode>
                <c:ptCount val="4"/>
                <c:pt idx="0">
                  <c:v>110500</c:v>
                </c:pt>
                <c:pt idx="1">
                  <c:v>1053300</c:v>
                </c:pt>
                <c:pt idx="2">
                  <c:v>347300</c:v>
                </c:pt>
                <c:pt idx="3">
                  <c:v>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B-44D1-A2FB-AA6907A6BD04}"/>
            </c:ext>
          </c:extLst>
        </c:ser>
        <c:ser>
          <c:idx val="1"/>
          <c:order val="1"/>
          <c:tx>
            <c:strRef>
              <c:f>'Data Visualization'!$C$3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'Data Visualization'!$A$4:$A$8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'Data Visualization'!$C$4:$C$8</c:f>
              <c:numCache>
                <c:formatCode>General</c:formatCode>
                <c:ptCount val="4"/>
                <c:pt idx="0">
                  <c:v>22100</c:v>
                </c:pt>
                <c:pt idx="1">
                  <c:v>210660</c:v>
                </c:pt>
                <c:pt idx="2">
                  <c:v>69460</c:v>
                </c:pt>
                <c:pt idx="3">
                  <c:v>13125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B-44D1-A2FB-AA6907A6B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3486495"/>
        <c:axId val="1743494815"/>
      </c:barChart>
      <c:catAx>
        <c:axId val="174348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494815"/>
        <c:crosses val="autoZero"/>
        <c:auto val="1"/>
        <c:lblAlgn val="ctr"/>
        <c:lblOffset val="100"/>
        <c:noMultiLvlLbl val="0"/>
      </c:catAx>
      <c:valAx>
        <c:axId val="174349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48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63"/>
              <c:pt idx="0">
                <c:v>Bed Feb</c:v>
              </c:pt>
              <c:pt idx="1">
                <c:v>Bed Mar</c:v>
              </c:pt>
              <c:pt idx="2">
                <c:v>Bed Apr</c:v>
              </c:pt>
              <c:pt idx="3">
                <c:v>Bed May</c:v>
              </c:pt>
              <c:pt idx="4">
                <c:v>Chair Jan</c:v>
              </c:pt>
              <c:pt idx="5">
                <c:v>Chair Mar</c:v>
              </c:pt>
              <c:pt idx="6">
                <c:v>Chair Apr</c:v>
              </c:pt>
              <c:pt idx="7">
                <c:v>Headphones Jan</c:v>
              </c:pt>
              <c:pt idx="8">
                <c:v>Headphones Mar</c:v>
              </c:pt>
              <c:pt idx="9">
                <c:v>Headphones Apr</c:v>
              </c:pt>
              <c:pt idx="10">
                <c:v>Headphones May</c:v>
              </c:pt>
              <c:pt idx="11">
                <c:v>Jacket Feb</c:v>
              </c:pt>
              <c:pt idx="12">
                <c:v>Jacket Mar</c:v>
              </c:pt>
              <c:pt idx="13">
                <c:v>Jacket Apr</c:v>
              </c:pt>
              <c:pt idx="14">
                <c:v>Jacket May</c:v>
              </c:pt>
              <c:pt idx="15">
                <c:v>Jeans Jan</c:v>
              </c:pt>
              <c:pt idx="16">
                <c:v>Jeans Mar</c:v>
              </c:pt>
              <c:pt idx="17">
                <c:v>Jeans Apr</c:v>
              </c:pt>
              <c:pt idx="18">
                <c:v>Laptop Jan</c:v>
              </c:pt>
              <c:pt idx="19">
                <c:v>Laptop Feb</c:v>
              </c:pt>
              <c:pt idx="20">
                <c:v>Laptop Mar</c:v>
              </c:pt>
              <c:pt idx="21">
                <c:v>Laptop Apr</c:v>
              </c:pt>
              <c:pt idx="22">
                <c:v>Laptop May</c:v>
              </c:pt>
              <c:pt idx="23">
                <c:v>Mobile Jan</c:v>
              </c:pt>
              <c:pt idx="24">
                <c:v>Mobile Feb</c:v>
              </c:pt>
              <c:pt idx="25">
                <c:v>Mobile Mar</c:v>
              </c:pt>
              <c:pt idx="26">
                <c:v>Mobile Apr</c:v>
              </c:pt>
              <c:pt idx="27">
                <c:v>Oil Jan</c:v>
              </c:pt>
              <c:pt idx="28">
                <c:v>Oil Mar</c:v>
              </c:pt>
              <c:pt idx="29">
                <c:v>Oil Apr</c:v>
              </c:pt>
              <c:pt idx="30">
                <c:v>Rice Jan</c:v>
              </c:pt>
              <c:pt idx="31">
                <c:v>Rice Mar</c:v>
              </c:pt>
              <c:pt idx="32">
                <c:v>Rice Apr</c:v>
              </c:pt>
              <c:pt idx="33">
                <c:v>Rice May</c:v>
              </c:pt>
              <c:pt idx="34">
                <c:v>Shirt Jan</c:v>
              </c:pt>
              <c:pt idx="35">
                <c:v>Shirt Feb</c:v>
              </c:pt>
              <c:pt idx="36">
                <c:v>Shirt Mar</c:v>
              </c:pt>
              <c:pt idx="37">
                <c:v>Shirt Apr</c:v>
              </c:pt>
              <c:pt idx="38">
                <c:v>Shirt May</c:v>
              </c:pt>
              <c:pt idx="39">
                <c:v>Sofa Feb</c:v>
              </c:pt>
              <c:pt idx="40">
                <c:v>Sofa Mar</c:v>
              </c:pt>
              <c:pt idx="41">
                <c:v>Sofa Apr</c:v>
              </c:pt>
              <c:pt idx="42">
                <c:v>Sofa May</c:v>
              </c:pt>
              <c:pt idx="43">
                <c:v>Sugar Feb</c:v>
              </c:pt>
              <c:pt idx="44">
                <c:v>Sugar Mar</c:v>
              </c:pt>
              <c:pt idx="45">
                <c:v>Sugar Apr</c:v>
              </c:pt>
              <c:pt idx="46">
                <c:v>Sugar May</c:v>
              </c:pt>
              <c:pt idx="47">
                <c:v>Table Jan</c:v>
              </c:pt>
              <c:pt idx="48">
                <c:v>Table Mar</c:v>
              </c:pt>
              <c:pt idx="49">
                <c:v>Table Apr</c:v>
              </c:pt>
              <c:pt idx="50">
                <c:v>Table May</c:v>
              </c:pt>
              <c:pt idx="51">
                <c:v>Tablet Jan</c:v>
              </c:pt>
              <c:pt idx="52">
                <c:v>Tablet Mar</c:v>
              </c:pt>
              <c:pt idx="53">
                <c:v>Tablet Apr</c:v>
              </c:pt>
              <c:pt idx="54">
                <c:v>Tablet May</c:v>
              </c:pt>
              <c:pt idx="55">
                <c:v>T-shirt Feb</c:v>
              </c:pt>
              <c:pt idx="56">
                <c:v>T-shirt Mar</c:v>
              </c:pt>
              <c:pt idx="57">
                <c:v>T-shirt Apr</c:v>
              </c:pt>
              <c:pt idx="58">
                <c:v>T-shirt May</c:v>
              </c:pt>
              <c:pt idx="59">
                <c:v>Wheat Feb</c:v>
              </c:pt>
              <c:pt idx="60">
                <c:v>Wheat Mar</c:v>
              </c:pt>
              <c:pt idx="61">
                <c:v>Wheat Apr</c:v>
              </c:pt>
              <c:pt idx="62">
                <c:v>Wheat May</c:v>
              </c:pt>
            </c:strLit>
          </c:cat>
          <c:val>
            <c:numLit>
              <c:formatCode>General</c:formatCode>
              <c:ptCount val="63"/>
              <c:pt idx="0">
                <c:v>30000</c:v>
              </c:pt>
              <c:pt idx="1">
                <c:v>32000</c:v>
              </c:pt>
              <c:pt idx="2">
                <c:v>64000</c:v>
              </c:pt>
              <c:pt idx="3">
                <c:v>34000</c:v>
              </c:pt>
              <c:pt idx="4">
                <c:v>10000</c:v>
              </c:pt>
              <c:pt idx="5">
                <c:v>17400</c:v>
              </c:pt>
              <c:pt idx="6">
                <c:v>12700</c:v>
              </c:pt>
              <c:pt idx="7">
                <c:v>12000</c:v>
              </c:pt>
              <c:pt idx="8">
                <c:v>18600</c:v>
              </c:pt>
              <c:pt idx="9">
                <c:v>9300</c:v>
              </c:pt>
              <c:pt idx="10">
                <c:v>6400</c:v>
              </c:pt>
              <c:pt idx="11">
                <c:v>7000</c:v>
              </c:pt>
              <c:pt idx="12">
                <c:v>14000</c:v>
              </c:pt>
              <c:pt idx="13">
                <c:v>7000</c:v>
              </c:pt>
              <c:pt idx="14">
                <c:v>3600</c:v>
              </c:pt>
              <c:pt idx="15">
                <c:v>6000</c:v>
              </c:pt>
              <c:pt idx="16">
                <c:v>10200</c:v>
              </c:pt>
              <c:pt idx="17">
                <c:v>8600</c:v>
              </c:pt>
              <c:pt idx="18">
                <c:v>110000</c:v>
              </c:pt>
              <c:pt idx="19">
                <c:v>58000</c:v>
              </c:pt>
              <c:pt idx="20">
                <c:v>223000</c:v>
              </c:pt>
              <c:pt idx="21">
                <c:v>119000</c:v>
              </c:pt>
              <c:pt idx="22">
                <c:v>58000</c:v>
              </c:pt>
              <c:pt idx="23">
                <c:v>60000</c:v>
              </c:pt>
              <c:pt idx="24">
                <c:v>44000</c:v>
              </c:pt>
              <c:pt idx="25">
                <c:v>88000</c:v>
              </c:pt>
              <c:pt idx="26">
                <c:v>93000</c:v>
              </c:pt>
              <c:pt idx="27">
                <c:v>3000</c:v>
              </c:pt>
              <c:pt idx="28">
                <c:v>6850</c:v>
              </c:pt>
              <c:pt idx="29">
                <c:v>6300</c:v>
              </c:pt>
              <c:pt idx="30">
                <c:v>4000</c:v>
              </c:pt>
              <c:pt idx="31">
                <c:v>9925</c:v>
              </c:pt>
              <c:pt idx="32">
                <c:v>6575</c:v>
              </c:pt>
              <c:pt idx="33">
                <c:v>3600</c:v>
              </c:pt>
              <c:pt idx="34">
                <c:v>6000</c:v>
              </c:pt>
              <c:pt idx="35">
                <c:v>5200</c:v>
              </c:pt>
              <c:pt idx="36">
                <c:v>9400</c:v>
              </c:pt>
              <c:pt idx="37">
                <c:v>9800</c:v>
              </c:pt>
              <c:pt idx="38">
                <c:v>4050</c:v>
              </c:pt>
              <c:pt idx="39">
                <c:v>20000</c:v>
              </c:pt>
              <c:pt idx="40">
                <c:v>21000</c:v>
              </c:pt>
              <c:pt idx="41">
                <c:v>41000</c:v>
              </c:pt>
              <c:pt idx="42">
                <c:v>22000</c:v>
              </c:pt>
              <c:pt idx="43">
                <c:v>2700</c:v>
              </c:pt>
              <c:pt idx="44">
                <c:v>3000</c:v>
              </c:pt>
              <c:pt idx="45">
                <c:v>4250</c:v>
              </c:pt>
              <c:pt idx="46">
                <c:v>2400</c:v>
              </c:pt>
              <c:pt idx="47">
                <c:v>12000</c:v>
              </c:pt>
              <c:pt idx="48">
                <c:v>6500</c:v>
              </c:pt>
              <c:pt idx="49">
                <c:v>18200</c:v>
              </c:pt>
              <c:pt idx="50">
                <c:v>6500</c:v>
              </c:pt>
              <c:pt idx="51">
                <c:v>36000</c:v>
              </c:pt>
              <c:pt idx="52">
                <c:v>66000</c:v>
              </c:pt>
              <c:pt idx="53">
                <c:v>18000</c:v>
              </c:pt>
              <c:pt idx="54">
                <c:v>34000</c:v>
              </c:pt>
              <c:pt idx="55">
                <c:v>4200</c:v>
              </c:pt>
              <c:pt idx="56">
                <c:v>3750</c:v>
              </c:pt>
              <c:pt idx="57">
                <c:v>8500</c:v>
              </c:pt>
              <c:pt idx="58">
                <c:v>3200</c:v>
              </c:pt>
              <c:pt idx="59">
                <c:v>2400</c:v>
              </c:pt>
              <c:pt idx="60">
                <c:v>2600</c:v>
              </c:pt>
              <c:pt idx="61">
                <c:v>5100</c:v>
              </c:pt>
              <c:pt idx="62">
                <c:v>2925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4F55-42F8-A179-25BF8664C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104576"/>
        <c:axId val="250134112"/>
      </c:lineChart>
      <c:catAx>
        <c:axId val="25010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134112"/>
        <c:crosses val="autoZero"/>
        <c:auto val="1"/>
        <c:lblAlgn val="ctr"/>
        <c:lblOffset val="100"/>
        <c:noMultiLvlLbl val="0"/>
      </c:catAx>
      <c:valAx>
        <c:axId val="25013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10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</a:t>
            </a:r>
            <a:r>
              <a:rPr lang="en-US" baseline="0"/>
              <a:t> Sales</a:t>
            </a:r>
            <a:endParaRPr lang="en-US"/>
          </a:p>
        </c:rich>
      </c:tx>
      <c:layout>
        <c:manualLayout>
          <c:xMode val="edge"/>
          <c:yMode val="edge"/>
          <c:x val="0.37347222222222221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2413621595801391"/>
          <c:y val="0.14515897607717915"/>
          <c:w val="0.60857166776031091"/>
          <c:h val="0.79572952007294373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94E-40BB-B540-E917C3D6ABFF}"/>
              </c:ext>
            </c:extLst>
          </c:dPt>
          <c:cat>
            <c:strLit>
              <c:ptCount val="63"/>
              <c:pt idx="0">
                <c:v>Bed Feb</c:v>
              </c:pt>
              <c:pt idx="1">
                <c:v>Bed Mar</c:v>
              </c:pt>
              <c:pt idx="2">
                <c:v>Bed Apr</c:v>
              </c:pt>
              <c:pt idx="3">
                <c:v>Bed May</c:v>
              </c:pt>
              <c:pt idx="4">
                <c:v>Chair Jan</c:v>
              </c:pt>
              <c:pt idx="5">
                <c:v>Chair Mar</c:v>
              </c:pt>
              <c:pt idx="6">
                <c:v>Chair Apr</c:v>
              </c:pt>
              <c:pt idx="7">
                <c:v>Headphones Jan</c:v>
              </c:pt>
              <c:pt idx="8">
                <c:v>Headphones Mar</c:v>
              </c:pt>
              <c:pt idx="9">
                <c:v>Headphones Apr</c:v>
              </c:pt>
              <c:pt idx="10">
                <c:v>Headphones May</c:v>
              </c:pt>
              <c:pt idx="11">
                <c:v>Jacket Feb</c:v>
              </c:pt>
              <c:pt idx="12">
                <c:v>Jacket Mar</c:v>
              </c:pt>
              <c:pt idx="13">
                <c:v>Jacket Apr</c:v>
              </c:pt>
              <c:pt idx="14">
                <c:v>Jacket May</c:v>
              </c:pt>
              <c:pt idx="15">
                <c:v>Jeans Jan</c:v>
              </c:pt>
              <c:pt idx="16">
                <c:v>Jeans Mar</c:v>
              </c:pt>
              <c:pt idx="17">
                <c:v>Jeans Apr</c:v>
              </c:pt>
              <c:pt idx="18">
                <c:v>Laptop Jan</c:v>
              </c:pt>
              <c:pt idx="19">
                <c:v>Laptop Feb</c:v>
              </c:pt>
              <c:pt idx="20">
                <c:v>Laptop Mar</c:v>
              </c:pt>
              <c:pt idx="21">
                <c:v>Laptop Apr</c:v>
              </c:pt>
              <c:pt idx="22">
                <c:v>Laptop May</c:v>
              </c:pt>
              <c:pt idx="23">
                <c:v>Mobile Jan</c:v>
              </c:pt>
              <c:pt idx="24">
                <c:v>Mobile Feb</c:v>
              </c:pt>
              <c:pt idx="25">
                <c:v>Mobile Mar</c:v>
              </c:pt>
              <c:pt idx="26">
                <c:v>Mobile Apr</c:v>
              </c:pt>
              <c:pt idx="27">
                <c:v>Oil Jan</c:v>
              </c:pt>
              <c:pt idx="28">
                <c:v>Oil Mar</c:v>
              </c:pt>
              <c:pt idx="29">
                <c:v>Oil Apr</c:v>
              </c:pt>
              <c:pt idx="30">
                <c:v>Rice Jan</c:v>
              </c:pt>
              <c:pt idx="31">
                <c:v>Rice Mar</c:v>
              </c:pt>
              <c:pt idx="32">
                <c:v>Rice Apr</c:v>
              </c:pt>
              <c:pt idx="33">
                <c:v>Rice May</c:v>
              </c:pt>
              <c:pt idx="34">
                <c:v>Shirt Jan</c:v>
              </c:pt>
              <c:pt idx="35">
                <c:v>Shirt Feb</c:v>
              </c:pt>
              <c:pt idx="36">
                <c:v>Shirt Mar</c:v>
              </c:pt>
              <c:pt idx="37">
                <c:v>Shirt Apr</c:v>
              </c:pt>
              <c:pt idx="38">
                <c:v>Shirt May</c:v>
              </c:pt>
              <c:pt idx="39">
                <c:v>Sofa Feb</c:v>
              </c:pt>
              <c:pt idx="40">
                <c:v>Sofa Mar</c:v>
              </c:pt>
              <c:pt idx="41">
                <c:v>Sofa Apr</c:v>
              </c:pt>
              <c:pt idx="42">
                <c:v>Sofa May</c:v>
              </c:pt>
              <c:pt idx="43">
                <c:v>Sugar Feb</c:v>
              </c:pt>
              <c:pt idx="44">
                <c:v>Sugar Mar</c:v>
              </c:pt>
              <c:pt idx="45">
                <c:v>Sugar Apr</c:v>
              </c:pt>
              <c:pt idx="46">
                <c:v>Sugar May</c:v>
              </c:pt>
              <c:pt idx="47">
                <c:v>Table Jan</c:v>
              </c:pt>
              <c:pt idx="48">
                <c:v>Table Mar</c:v>
              </c:pt>
              <c:pt idx="49">
                <c:v>Table Apr</c:v>
              </c:pt>
              <c:pt idx="50">
                <c:v>Table May</c:v>
              </c:pt>
              <c:pt idx="51">
                <c:v>Tablet Jan</c:v>
              </c:pt>
              <c:pt idx="52">
                <c:v>Tablet Mar</c:v>
              </c:pt>
              <c:pt idx="53">
                <c:v>Tablet Apr</c:v>
              </c:pt>
              <c:pt idx="54">
                <c:v>Tablet May</c:v>
              </c:pt>
              <c:pt idx="55">
                <c:v>T-shirt Feb</c:v>
              </c:pt>
              <c:pt idx="56">
                <c:v>T-shirt Mar</c:v>
              </c:pt>
              <c:pt idx="57">
                <c:v>T-shirt Apr</c:v>
              </c:pt>
              <c:pt idx="58">
                <c:v>T-shirt May</c:v>
              </c:pt>
              <c:pt idx="59">
                <c:v>Wheat Feb</c:v>
              </c:pt>
              <c:pt idx="60">
                <c:v>Wheat Mar</c:v>
              </c:pt>
              <c:pt idx="61">
                <c:v>Wheat Apr</c:v>
              </c:pt>
              <c:pt idx="62">
                <c:v>Wheat May</c:v>
              </c:pt>
            </c:strLit>
          </c:cat>
          <c:val>
            <c:numLit>
              <c:formatCode>General</c:formatCode>
              <c:ptCount val="63"/>
              <c:pt idx="0">
                <c:v>30000</c:v>
              </c:pt>
              <c:pt idx="1">
                <c:v>32000</c:v>
              </c:pt>
              <c:pt idx="2">
                <c:v>64000</c:v>
              </c:pt>
              <c:pt idx="3">
                <c:v>34000</c:v>
              </c:pt>
              <c:pt idx="4">
                <c:v>10000</c:v>
              </c:pt>
              <c:pt idx="5">
                <c:v>17400</c:v>
              </c:pt>
              <c:pt idx="6">
                <c:v>12700</c:v>
              </c:pt>
              <c:pt idx="7">
                <c:v>12000</c:v>
              </c:pt>
              <c:pt idx="8">
                <c:v>18600</c:v>
              </c:pt>
              <c:pt idx="9">
                <c:v>9300</c:v>
              </c:pt>
              <c:pt idx="10">
                <c:v>6400</c:v>
              </c:pt>
              <c:pt idx="11">
                <c:v>7000</c:v>
              </c:pt>
              <c:pt idx="12">
                <c:v>14000</c:v>
              </c:pt>
              <c:pt idx="13">
                <c:v>7000</c:v>
              </c:pt>
              <c:pt idx="14">
                <c:v>3600</c:v>
              </c:pt>
              <c:pt idx="15">
                <c:v>6000</c:v>
              </c:pt>
              <c:pt idx="16">
                <c:v>10200</c:v>
              </c:pt>
              <c:pt idx="17">
                <c:v>8600</c:v>
              </c:pt>
              <c:pt idx="18">
                <c:v>110000</c:v>
              </c:pt>
              <c:pt idx="19">
                <c:v>58000</c:v>
              </c:pt>
              <c:pt idx="20">
                <c:v>223000</c:v>
              </c:pt>
              <c:pt idx="21">
                <c:v>119000</c:v>
              </c:pt>
              <c:pt idx="22">
                <c:v>58000</c:v>
              </c:pt>
              <c:pt idx="23">
                <c:v>60000</c:v>
              </c:pt>
              <c:pt idx="24">
                <c:v>44000</c:v>
              </c:pt>
              <c:pt idx="25">
                <c:v>88000</c:v>
              </c:pt>
              <c:pt idx="26">
                <c:v>93000</c:v>
              </c:pt>
              <c:pt idx="27">
                <c:v>3000</c:v>
              </c:pt>
              <c:pt idx="28">
                <c:v>6850</c:v>
              </c:pt>
              <c:pt idx="29">
                <c:v>6300</c:v>
              </c:pt>
              <c:pt idx="30">
                <c:v>4000</c:v>
              </c:pt>
              <c:pt idx="31">
                <c:v>9925</c:v>
              </c:pt>
              <c:pt idx="32">
                <c:v>6575</c:v>
              </c:pt>
              <c:pt idx="33">
                <c:v>3600</c:v>
              </c:pt>
              <c:pt idx="34">
                <c:v>6000</c:v>
              </c:pt>
              <c:pt idx="35">
                <c:v>5200</c:v>
              </c:pt>
              <c:pt idx="36">
                <c:v>9400</c:v>
              </c:pt>
              <c:pt idx="37">
                <c:v>9800</c:v>
              </c:pt>
              <c:pt idx="38">
                <c:v>4050</c:v>
              </c:pt>
              <c:pt idx="39">
                <c:v>20000</c:v>
              </c:pt>
              <c:pt idx="40">
                <c:v>21000</c:v>
              </c:pt>
              <c:pt idx="41">
                <c:v>41000</c:v>
              </c:pt>
              <c:pt idx="42">
                <c:v>22000</c:v>
              </c:pt>
              <c:pt idx="43">
                <c:v>2700</c:v>
              </c:pt>
              <c:pt idx="44">
                <c:v>3000</c:v>
              </c:pt>
              <c:pt idx="45">
                <c:v>4250</c:v>
              </c:pt>
              <c:pt idx="46">
                <c:v>2400</c:v>
              </c:pt>
              <c:pt idx="47">
                <c:v>12000</c:v>
              </c:pt>
              <c:pt idx="48">
                <c:v>6500</c:v>
              </c:pt>
              <c:pt idx="49">
                <c:v>18200</c:v>
              </c:pt>
              <c:pt idx="50">
                <c:v>6500</c:v>
              </c:pt>
              <c:pt idx="51">
                <c:v>36000</c:v>
              </c:pt>
              <c:pt idx="52">
                <c:v>66000</c:v>
              </c:pt>
              <c:pt idx="53">
                <c:v>18000</c:v>
              </c:pt>
              <c:pt idx="54">
                <c:v>34000</c:v>
              </c:pt>
              <c:pt idx="55">
                <c:v>4200</c:v>
              </c:pt>
              <c:pt idx="56">
                <c:v>3750</c:v>
              </c:pt>
              <c:pt idx="57">
                <c:v>8500</c:v>
              </c:pt>
              <c:pt idx="58">
                <c:v>3200</c:v>
              </c:pt>
              <c:pt idx="59">
                <c:v>2400</c:v>
              </c:pt>
              <c:pt idx="60">
                <c:v>2600</c:v>
              </c:pt>
              <c:pt idx="61">
                <c:v>5100</c:v>
              </c:pt>
              <c:pt idx="62">
                <c:v>2925</c:v>
              </c:pt>
            </c:numLit>
          </c:val>
          <c:extLst>
            <c:ext xmlns:c16="http://schemas.microsoft.com/office/drawing/2014/chart" uri="{C3380CC4-5D6E-409C-BE32-E72D297353CC}">
              <c16:uniqueId val="{00000000-194E-40BB-B540-E917C3D6A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axId val="469684256"/>
        <c:axId val="469710464"/>
      </c:barChart>
      <c:catAx>
        <c:axId val="469684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10464"/>
        <c:crosses val="autoZero"/>
        <c:auto val="1"/>
        <c:lblAlgn val="ctr"/>
        <c:lblOffset val="100"/>
        <c:noMultiLvlLbl val="0"/>
      </c:catAx>
      <c:valAx>
        <c:axId val="46971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684256"/>
        <c:crosses val="autoZero"/>
        <c:crossBetween val="between"/>
      </c:valAx>
      <c:spPr>
        <a:noFill/>
        <a:ln>
          <a:noFill/>
        </a:ln>
        <a:effectLst>
          <a:glow rad="1371600">
            <a:schemeClr val="accent1">
              <a:alpha val="22000"/>
            </a:schemeClr>
          </a:glow>
          <a:softEdge rad="990600"/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chart" Target="../charts/chart8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chart" Target="../charts/chart7.xml"/><Relationship Id="rId5" Type="http://schemas.openxmlformats.org/officeDocument/2006/relationships/image" Target="../media/image5.emf"/><Relationship Id="rId10" Type="http://schemas.openxmlformats.org/officeDocument/2006/relationships/chart" Target="../charts/chart6.xml"/><Relationship Id="rId4" Type="http://schemas.openxmlformats.org/officeDocument/2006/relationships/image" Target="../media/image4.emf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164961</xdr:colOff>
      <xdr:row>17</xdr:row>
      <xdr:rowOff>51393</xdr:rowOff>
    </xdr:from>
    <xdr:to>
      <xdr:col>15</xdr:col>
      <xdr:colOff>177939</xdr:colOff>
      <xdr:row>32</xdr:row>
      <xdr:rowOff>79967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1E960-DF26-491F-9E9B-F0C41679D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314011</xdr:colOff>
      <xdr:row>17</xdr:row>
      <xdr:rowOff>6801</xdr:rowOff>
    </xdr:from>
    <xdr:to>
      <xdr:col>28</xdr:col>
      <xdr:colOff>213421</xdr:colOff>
      <xdr:row>33</xdr:row>
      <xdr:rowOff>52332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7CF3AB-45A6-4DE7-9B90-A472F1BF6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20935</xdr:colOff>
      <xdr:row>1</xdr:row>
      <xdr:rowOff>116236</xdr:rowOff>
    </xdr:from>
    <xdr:to>
      <xdr:col>22</xdr:col>
      <xdr:colOff>355253</xdr:colOff>
      <xdr:row>16</xdr:row>
      <xdr:rowOff>1937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3E8EC6-7525-4C9F-B211-22274D7F8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73270</xdr:colOff>
      <xdr:row>34</xdr:row>
      <xdr:rowOff>188405</xdr:rowOff>
    </xdr:from>
    <xdr:to>
      <xdr:col>21</xdr:col>
      <xdr:colOff>167473</xdr:colOff>
      <xdr:row>59</xdr:row>
      <xdr:rowOff>62799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FA9562-3236-462A-AC4C-9A8085440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45</xdr:col>
      <xdr:colOff>257969</xdr:colOff>
      <xdr:row>3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A00F1E6-63B3-4379-9AF4-D6A0BB93B4D5}"/>
            </a:ext>
          </a:extLst>
        </xdr:cNvPr>
        <xdr:cNvSpPr/>
      </xdr:nvSpPr>
      <xdr:spPr>
        <a:xfrm>
          <a:off x="0" y="0"/>
          <a:ext cx="27940000" cy="68103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kjjjnjjjkknjhghkhhkb</a:t>
          </a:r>
        </a:p>
      </xdr:txBody>
    </xdr:sp>
    <xdr:clientData/>
  </xdr:twoCellAnchor>
  <xdr:twoCellAnchor>
    <xdr:from>
      <xdr:col>0</xdr:col>
      <xdr:colOff>0</xdr:colOff>
      <xdr:row>3</xdr:row>
      <xdr:rowOff>108817</xdr:rowOff>
    </xdr:from>
    <xdr:to>
      <xdr:col>41</xdr:col>
      <xdr:colOff>510381</xdr:colOff>
      <xdr:row>95</xdr:row>
      <xdr:rowOff>113858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171F279-12E2-4945-9517-496EA304013B}"/>
            </a:ext>
          </a:extLst>
        </xdr:cNvPr>
        <xdr:cNvSpPr/>
      </xdr:nvSpPr>
      <xdr:spPr>
        <a:xfrm>
          <a:off x="0" y="680317"/>
          <a:ext cx="25503981" cy="1756914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Months</a:t>
          </a:r>
          <a:r>
            <a:rPr lang="en-US"/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Jan</a:t>
          </a:r>
          <a:r>
            <a:rPr lang="en-US"/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Feb</a:t>
          </a:r>
          <a:r>
            <a:rPr lang="en-US"/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Mar</a:t>
          </a:r>
          <a:r>
            <a:rPr lang="en-US"/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Apr</a:t>
          </a:r>
          <a:r>
            <a:rPr lang="en-US"/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May</a:t>
          </a:r>
          <a:r>
            <a:rPr lang="en-US"/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Months</a:t>
          </a:r>
          <a:r>
            <a:rPr lang="en-US"/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Jan</a:t>
          </a:r>
          <a:r>
            <a:rPr lang="en-US"/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Feb</a:t>
          </a:r>
          <a:r>
            <a:rPr lang="en-US"/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Mar</a:t>
          </a:r>
          <a:r>
            <a:rPr lang="en-US"/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Apr</a:t>
          </a:r>
          <a:r>
            <a:rPr lang="en-US"/>
            <a:t> 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May</a:t>
          </a:r>
          <a:r>
            <a:rPr lang="en-US"/>
            <a:t> </a:t>
          </a:r>
          <a:endParaRPr lang="en-US" sz="1100" b="0"/>
        </a:p>
      </xdr:txBody>
    </xdr:sp>
    <xdr:clientData/>
  </xdr:twoCellAnchor>
  <xdr:oneCellAnchor>
    <xdr:from>
      <xdr:col>11</xdr:col>
      <xdr:colOff>432953</xdr:colOff>
      <xdr:row>0</xdr:row>
      <xdr:rowOff>149528</xdr:rowOff>
    </xdr:from>
    <xdr:ext cx="7702984" cy="4854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2E12759-5B74-4D80-B523-0D1E3613DF23}"/>
            </a:ext>
          </a:extLst>
        </xdr:cNvPr>
        <xdr:cNvSpPr txBox="1"/>
      </xdr:nvSpPr>
      <xdr:spPr>
        <a:xfrm>
          <a:off x="7199672" y="149528"/>
          <a:ext cx="7702984" cy="4854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                 Sales and Profit Dashboard</a:t>
          </a:r>
        </a:p>
      </xdr:txBody>
    </xdr:sp>
    <xdr:clientData/>
  </xdr:oneCellAnchor>
  <xdr:twoCellAnchor>
    <xdr:from>
      <xdr:col>0</xdr:col>
      <xdr:colOff>15119</xdr:colOff>
      <xdr:row>4</xdr:row>
      <xdr:rowOff>15120</xdr:rowOff>
    </xdr:from>
    <xdr:to>
      <xdr:col>6</xdr:col>
      <xdr:colOff>105834</xdr:colOff>
      <xdr:row>9</xdr:row>
      <xdr:rowOff>188685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DB3F600-484A-462E-A392-D34ACE5A93B9}"/>
            </a:ext>
          </a:extLst>
        </xdr:cNvPr>
        <xdr:cNvSpPr/>
      </xdr:nvSpPr>
      <xdr:spPr>
        <a:xfrm>
          <a:off x="15119" y="801310"/>
          <a:ext cx="3719286" cy="11563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120952</xdr:colOff>
      <xdr:row>4</xdr:row>
      <xdr:rowOff>136071</xdr:rowOff>
    </xdr:from>
    <xdr:to>
      <xdr:col>1</xdr:col>
      <xdr:colOff>430590</xdr:colOff>
      <xdr:row>9</xdr:row>
      <xdr:rowOff>67732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5600A77-5F42-4A6E-BF8F-0B1EE86D4FF3}"/>
            </a:ext>
          </a:extLst>
        </xdr:cNvPr>
        <xdr:cNvSpPr/>
      </xdr:nvSpPr>
      <xdr:spPr>
        <a:xfrm>
          <a:off x="120952" y="922261"/>
          <a:ext cx="914400" cy="9144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529167</xdr:colOff>
      <xdr:row>4</xdr:row>
      <xdr:rowOff>14062</xdr:rowOff>
    </xdr:from>
    <xdr:to>
      <xdr:col>13</xdr:col>
      <xdr:colOff>15119</xdr:colOff>
      <xdr:row>9</xdr:row>
      <xdr:rowOff>187627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BE6455E-7468-4536-86BA-00B53B6450AA}"/>
            </a:ext>
          </a:extLst>
        </xdr:cNvPr>
        <xdr:cNvSpPr/>
      </xdr:nvSpPr>
      <xdr:spPr>
        <a:xfrm>
          <a:off x="4157738" y="800252"/>
          <a:ext cx="3719286" cy="11563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446012</xdr:colOff>
      <xdr:row>4</xdr:row>
      <xdr:rowOff>36664</xdr:rowOff>
    </xdr:from>
    <xdr:to>
      <xdr:col>19</xdr:col>
      <xdr:colOff>536727</xdr:colOff>
      <xdr:row>10</xdr:row>
      <xdr:rowOff>23207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ADE3599-0185-4271-81CC-170610CCACC7}"/>
            </a:ext>
          </a:extLst>
        </xdr:cNvPr>
        <xdr:cNvSpPr/>
      </xdr:nvSpPr>
      <xdr:spPr>
        <a:xfrm>
          <a:off x="8406191" y="785057"/>
          <a:ext cx="3764643" cy="11431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334509</xdr:colOff>
      <xdr:row>4</xdr:row>
      <xdr:rowOff>10281</xdr:rowOff>
    </xdr:from>
    <xdr:to>
      <xdr:col>26</xdr:col>
      <xdr:colOff>496092</xdr:colOff>
      <xdr:row>9</xdr:row>
      <xdr:rowOff>174397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F25EB19-84FD-4D48-9975-27563A488F7F}"/>
            </a:ext>
          </a:extLst>
        </xdr:cNvPr>
        <xdr:cNvSpPr/>
      </xdr:nvSpPr>
      <xdr:spPr>
        <a:xfrm>
          <a:off x="12637634" y="804031"/>
          <a:ext cx="3852521" cy="11563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60477</xdr:colOff>
      <xdr:row>4</xdr:row>
      <xdr:rowOff>120953</xdr:rowOff>
    </xdr:from>
    <xdr:to>
      <xdr:col>8</xdr:col>
      <xdr:colOff>370115</xdr:colOff>
      <xdr:row>9</xdr:row>
      <xdr:rowOff>52614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E7C8A3C-F150-4794-9A00-5D5A1123DBDE}"/>
            </a:ext>
          </a:extLst>
        </xdr:cNvPr>
        <xdr:cNvSpPr/>
      </xdr:nvSpPr>
      <xdr:spPr>
        <a:xfrm>
          <a:off x="4293810" y="907143"/>
          <a:ext cx="914400" cy="9144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45358</xdr:colOff>
      <xdr:row>4</xdr:row>
      <xdr:rowOff>166310</xdr:rowOff>
    </xdr:from>
    <xdr:to>
      <xdr:col>15</xdr:col>
      <xdr:colOff>354996</xdr:colOff>
      <xdr:row>9</xdr:row>
      <xdr:rowOff>97971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51D5A998-9366-452F-80D9-EFCD070F82C1}"/>
            </a:ext>
          </a:extLst>
        </xdr:cNvPr>
        <xdr:cNvSpPr/>
      </xdr:nvSpPr>
      <xdr:spPr>
        <a:xfrm>
          <a:off x="8512025" y="952500"/>
          <a:ext cx="914400" cy="9144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438452</xdr:colOff>
      <xdr:row>4</xdr:row>
      <xdr:rowOff>120952</xdr:rowOff>
    </xdr:from>
    <xdr:to>
      <xdr:col>22</xdr:col>
      <xdr:colOff>143328</xdr:colOff>
      <xdr:row>9</xdr:row>
      <xdr:rowOff>52613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3AAD2A5-0D5C-4F7A-81D9-0B7FAA26B7BC}"/>
            </a:ext>
          </a:extLst>
        </xdr:cNvPr>
        <xdr:cNvSpPr/>
      </xdr:nvSpPr>
      <xdr:spPr>
        <a:xfrm>
          <a:off x="12533690" y="907142"/>
          <a:ext cx="914400" cy="9144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120952</xdr:colOff>
      <xdr:row>5</xdr:row>
      <xdr:rowOff>45357</xdr:rowOff>
    </xdr:from>
    <xdr:to>
      <xdr:col>5</xdr:col>
      <xdr:colOff>438451</xdr:colOff>
      <xdr:row>9</xdr:row>
      <xdr:rowOff>15119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2BFF3C5-D0C2-48BE-B01A-433234F7C8DF}"/>
            </a:ext>
          </a:extLst>
        </xdr:cNvPr>
        <xdr:cNvSpPr txBox="1"/>
      </xdr:nvSpPr>
      <xdr:spPr>
        <a:xfrm rot="10800000" flipV="1">
          <a:off x="1330476" y="1028095"/>
          <a:ext cx="2131785" cy="7559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     </a:t>
          </a:r>
          <a:r>
            <a:rPr lang="en-US" sz="2000" b="1"/>
            <a:t>Total sales</a:t>
          </a:r>
        </a:p>
      </xdr:txBody>
    </xdr:sp>
    <xdr:clientData/>
  </xdr:twoCellAnchor>
  <xdr:twoCellAnchor>
    <xdr:from>
      <xdr:col>9</xdr:col>
      <xdr:colOff>0</xdr:colOff>
      <xdr:row>5</xdr:row>
      <xdr:rowOff>45358</xdr:rowOff>
    </xdr:from>
    <xdr:to>
      <xdr:col>12</xdr:col>
      <xdr:colOff>332619</xdr:colOff>
      <xdr:row>9</xdr:row>
      <xdr:rowOff>60476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C05E98E-D54F-4BFC-A6C6-E176262033B1}"/>
            </a:ext>
          </a:extLst>
        </xdr:cNvPr>
        <xdr:cNvSpPr txBox="1"/>
      </xdr:nvSpPr>
      <xdr:spPr>
        <a:xfrm>
          <a:off x="5442857" y="1028096"/>
          <a:ext cx="2146905" cy="8013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      </a:t>
          </a:r>
          <a:r>
            <a:rPr lang="en-US" sz="1800" b="1"/>
            <a:t>Total Profit</a:t>
          </a:r>
        </a:p>
      </xdr:txBody>
    </xdr:sp>
    <xdr:clientData/>
  </xdr:twoCellAnchor>
  <xdr:oneCellAnchor>
    <xdr:from>
      <xdr:col>15</xdr:col>
      <xdr:colOff>226784</xdr:colOff>
      <xdr:row>19</xdr:row>
      <xdr:rowOff>151190</xdr:rowOff>
    </xdr:from>
    <xdr:ext cx="725715" cy="52916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CAE901B-BA08-4F42-9F5A-91EAD74A367E}"/>
            </a:ext>
          </a:extLst>
        </xdr:cNvPr>
        <xdr:cNvSpPr txBox="1"/>
      </xdr:nvSpPr>
      <xdr:spPr>
        <a:xfrm>
          <a:off x="9298213" y="3885595"/>
          <a:ext cx="725715" cy="529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75595</xdr:colOff>
      <xdr:row>17</xdr:row>
      <xdr:rowOff>75595</xdr:rowOff>
    </xdr:from>
    <xdr:ext cx="816429" cy="29479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FA6FFAB-FC7F-4ECD-83E5-5CAC1F47A1F7}"/>
            </a:ext>
          </a:extLst>
        </xdr:cNvPr>
        <xdr:cNvSpPr txBox="1"/>
      </xdr:nvSpPr>
      <xdr:spPr>
        <a:xfrm>
          <a:off x="6727976" y="3416905"/>
          <a:ext cx="816429" cy="294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468690</xdr:colOff>
      <xdr:row>5</xdr:row>
      <xdr:rowOff>60475</xdr:rowOff>
    </xdr:from>
    <xdr:ext cx="2343451" cy="81643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3F63D66-873F-47AA-80CC-CE81B33B455B}"/>
            </a:ext>
          </a:extLst>
        </xdr:cNvPr>
        <xdr:cNvSpPr txBox="1"/>
      </xdr:nvSpPr>
      <xdr:spPr>
        <a:xfrm>
          <a:off x="9540119" y="1043213"/>
          <a:ext cx="2343451" cy="81643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 b="1" baseline="0"/>
            <a:t>      Product Sold</a:t>
          </a:r>
          <a:endParaRPr lang="en-US" sz="1800" b="1"/>
        </a:p>
      </xdr:txBody>
    </xdr:sp>
    <xdr:clientData/>
  </xdr:oneCellAnchor>
  <xdr:oneCellAnchor>
    <xdr:from>
      <xdr:col>22</xdr:col>
      <xdr:colOff>196546</xdr:colOff>
      <xdr:row>4</xdr:row>
      <xdr:rowOff>151190</xdr:rowOff>
    </xdr:from>
    <xdr:ext cx="2373692" cy="831549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ACC9CA2-87A9-4EE2-A230-F1CB37230F60}"/>
            </a:ext>
          </a:extLst>
        </xdr:cNvPr>
        <xdr:cNvSpPr txBox="1"/>
      </xdr:nvSpPr>
      <xdr:spPr>
        <a:xfrm>
          <a:off x="13501308" y="937380"/>
          <a:ext cx="2373692" cy="831549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/>
            <a:t>    </a:t>
          </a:r>
          <a:r>
            <a:rPr lang="en-US" sz="1800" b="1"/>
            <a:t>Profit</a:t>
          </a:r>
          <a:r>
            <a:rPr lang="en-US" sz="1800" b="1" baseline="0"/>
            <a:t> </a:t>
          </a:r>
          <a:r>
            <a:rPr lang="en-US" sz="1800" b="1"/>
            <a:t> Percentage</a:t>
          </a:r>
          <a:endParaRPr lang="en-US" sz="1600" b="1"/>
        </a:p>
      </xdr:txBody>
    </xdr:sp>
    <xdr:clientData/>
  </xdr:oneCellAnchor>
  <xdr:twoCellAnchor editAs="oneCell">
    <xdr:from>
      <xdr:col>2</xdr:col>
      <xdr:colOff>393095</xdr:colOff>
      <xdr:row>7</xdr:row>
      <xdr:rowOff>15120</xdr:rowOff>
    </xdr:from>
    <xdr:to>
      <xdr:col>4</xdr:col>
      <xdr:colOff>407004</xdr:colOff>
      <xdr:row>8</xdr:row>
      <xdr:rowOff>159484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9879C7A-9169-4101-AB1B-902DBA43E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2619" y="1390953"/>
          <a:ext cx="1375833" cy="340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272143</xdr:colOff>
      <xdr:row>7</xdr:row>
      <xdr:rowOff>0</xdr:rowOff>
    </xdr:from>
    <xdr:to>
      <xdr:col>11</xdr:col>
      <xdr:colOff>361199</xdr:colOff>
      <xdr:row>8</xdr:row>
      <xdr:rowOff>162984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ED87617-B243-4C1A-AEB9-2BD35E0CA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1375833"/>
          <a:ext cx="1450980" cy="359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181429</xdr:colOff>
      <xdr:row>7</xdr:row>
      <xdr:rowOff>0</xdr:rowOff>
    </xdr:from>
    <xdr:to>
      <xdr:col>18</xdr:col>
      <xdr:colOff>331502</xdr:colOff>
      <xdr:row>8</xdr:row>
      <xdr:rowOff>178103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2EC9457-1164-4249-A08C-A6D93D07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7619" y="1375833"/>
          <a:ext cx="1511997" cy="374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559406</xdr:colOff>
      <xdr:row>6</xdr:row>
      <xdr:rowOff>90715</xdr:rowOff>
    </xdr:from>
    <xdr:to>
      <xdr:col>25</xdr:col>
      <xdr:colOff>144514</xdr:colOff>
      <xdr:row>8</xdr:row>
      <xdr:rowOff>74354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3A03AE7-4AAE-4AE9-82B3-0CCA603E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4168" y="1270001"/>
          <a:ext cx="1627994" cy="376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75595</xdr:colOff>
      <xdr:row>10</xdr:row>
      <xdr:rowOff>105832</xdr:rowOff>
    </xdr:from>
    <xdr:to>
      <xdr:col>3</xdr:col>
      <xdr:colOff>240090</xdr:colOff>
      <xdr:row>24</xdr:row>
      <xdr:rowOff>136071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8DCDE83-0E11-4BD8-BA29-163C4CAA0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95" y="2071308"/>
          <a:ext cx="2207381" cy="2781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42155</xdr:rowOff>
    </xdr:from>
    <xdr:to>
      <xdr:col>3</xdr:col>
      <xdr:colOff>638021</xdr:colOff>
      <xdr:row>54</xdr:row>
      <xdr:rowOff>5223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9359660-A507-4007-A392-FDC9A5101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3255"/>
          <a:ext cx="2695421" cy="5297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372420</xdr:colOff>
      <xdr:row>54</xdr:row>
      <xdr:rowOff>21252</xdr:rowOff>
    </xdr:from>
    <xdr:to>
      <xdr:col>6</xdr:col>
      <xdr:colOff>164701</xdr:colOff>
      <xdr:row>73</xdr:row>
      <xdr:rowOff>83217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36EBC70-0873-485E-BBF5-EC3E7D258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2170" y="10340002"/>
          <a:ext cx="1830631" cy="368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222505</xdr:colOff>
      <xdr:row>54</xdr:row>
      <xdr:rowOff>57867</xdr:rowOff>
    </xdr:from>
    <xdr:to>
      <xdr:col>2</xdr:col>
      <xdr:colOff>664343</xdr:colOff>
      <xdr:row>72</xdr:row>
      <xdr:rowOff>179490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EEE871E-92C0-44F9-BAE8-70FB6898F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505" y="10376617"/>
          <a:ext cx="1794388" cy="3550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115094</xdr:colOff>
      <xdr:row>35</xdr:row>
      <xdr:rowOff>182563</xdr:rowOff>
    </xdr:from>
    <xdr:to>
      <xdr:col>34</xdr:col>
      <xdr:colOff>341312</xdr:colOff>
      <xdr:row>60</xdr:row>
      <xdr:rowOff>111124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CB527614-8937-461F-981A-00ABC970A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305594</xdr:colOff>
      <xdr:row>11</xdr:row>
      <xdr:rowOff>76435</xdr:rowOff>
    </xdr:from>
    <xdr:to>
      <xdr:col>33</xdr:col>
      <xdr:colOff>186531</xdr:colOff>
      <xdr:row>34</xdr:row>
      <xdr:rowOff>130969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212B061A-8A4F-4386-B46E-6CBDA3E03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459239</xdr:colOff>
      <xdr:row>11</xdr:row>
      <xdr:rowOff>100248</xdr:rowOff>
    </xdr:from>
    <xdr:to>
      <xdr:col>18</xdr:col>
      <xdr:colOff>587375</xdr:colOff>
      <xdr:row>35</xdr:row>
      <xdr:rowOff>180294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ACA66807-3EE2-45B8-BFC8-85D7B1A66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190501</xdr:colOff>
      <xdr:row>36</xdr:row>
      <xdr:rowOff>147410</xdr:rowOff>
    </xdr:from>
    <xdr:to>
      <xdr:col>21</xdr:col>
      <xdr:colOff>215447</xdr:colOff>
      <xdr:row>63</xdr:row>
      <xdr:rowOff>178594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689DC5A5-1DDB-405A-AAB8-7002F34BF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.l Raghul" refreshedDate="46095.81605277778" createdVersion="7" refreshedVersion="7" minRefreshableVersion="3" recordCount="89" xr:uid="{F733E1F2-E36F-4A83-AEFF-6D9463FACA7C}">
  <cacheSource type="worksheet">
    <worksheetSource ref="A3:G92" sheet="Sheet4"/>
  </cacheSource>
  <cacheFields count="8">
    <cacheField name="Departmentt" numFmtId="0">
      <sharedItems count="4">
        <s v="Electronics"/>
        <s v="Clothing"/>
        <s v="Grocery"/>
        <s v="Furniture"/>
      </sharedItems>
    </cacheField>
    <cacheField name="Product" numFmtId="0">
      <sharedItems count="16">
        <s v="Laptop"/>
        <s v="Mobile"/>
        <s v="Shirt"/>
        <s v="Rice"/>
        <s v="Chair"/>
        <s v="Tablet"/>
        <s v="Jeans"/>
        <s v="Oil"/>
        <s v="Table"/>
        <s v="Headphones"/>
        <s v="Jacket"/>
        <s v="Sugar"/>
        <s v="Sofa"/>
        <s v="T-shirt"/>
        <s v="Wheat"/>
        <s v="Bed"/>
      </sharedItems>
    </cacheField>
    <cacheField name="Date" numFmtId="14">
      <sharedItems containsSemiMixedTypes="0" containsNonDate="0" containsDate="1" containsString="0" minDate="2025-01-05T00:00:00" maxDate="2025-05-13T00:00:00" count="89">
        <d v="2025-01-05T00:00:00"/>
        <d v="2025-01-08T00:00:00"/>
        <d v="2025-01-10T00:00:00"/>
        <d v="2025-01-12T00:00:00"/>
        <d v="2025-01-15T00:00:00"/>
        <d v="2025-01-18T00:00:00"/>
        <d v="2025-01-20T00:00:00"/>
        <d v="2025-01-23T00:00:00"/>
        <d v="2025-01-25T00:00:00"/>
        <d v="2025-01-28T00:00:00"/>
        <d v="2025-02-02T00:00:00"/>
        <d v="2025-02-05T00:00:00"/>
        <d v="2025-02-08T00:00:00"/>
        <d v="2025-02-12T00:00:00"/>
        <d v="2025-02-15T00:00:00"/>
        <d v="2025-02-18T00:00:00"/>
        <d v="2025-02-21T00:00:00"/>
        <d v="2025-02-25T00:00:00"/>
        <d v="2025-02-28T00:00:00"/>
        <d v="2025-03-03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</sharedItems>
      <fieldGroup par="7" base="2">
        <rangePr groupBy="days" startDate="2025-01-05T00:00:00" endDate="2025-05-13T00:00:00"/>
        <groupItems count="368">
          <s v="&lt;05-01-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3-05-25"/>
        </groupItems>
      </fieldGroup>
    </cacheField>
    <cacheField name="Price" numFmtId="0">
      <sharedItems containsSemiMixedTypes="0" containsString="0" containsNumber="1" containsInteger="1" minValue="45" maxValue="60000"/>
    </cacheField>
    <cacheField name="Quantity" numFmtId="0">
      <sharedItems containsSemiMixedTypes="0" containsString="0" containsNumber="1" containsInteger="1" minValue="1" maxValue="60"/>
    </cacheField>
    <cacheField name="Sales" numFmtId="0">
      <sharedItems containsSemiMixedTypes="0" containsString="0" containsNumber="1" containsInteger="1" minValue="2000" maxValue="110000"/>
    </cacheField>
    <cacheField name="Profit" numFmtId="0">
      <sharedItems containsSemiMixedTypes="0" containsString="0" containsNumber="1" containsInteger="1" minValue="400" maxValue="22000"/>
    </cacheField>
    <cacheField name="Months" numFmtId="0" databaseField="0">
      <fieldGroup base="2">
        <rangePr groupBy="months" startDate="2025-01-05T00:00:00" endDate="2025-05-13T00:00:00"/>
        <groupItems count="14">
          <s v="&lt;05-01-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.l Raghul" refreshedDate="46096.500065277774" createdVersion="7" refreshedVersion="7" minRefreshableVersion="3" recordCount="89" xr:uid="{10F172A7-E20E-4101-9D1F-ABFF940055AF}">
  <cacheSource type="worksheet">
    <worksheetSource ref="A46:H135" sheet="Data Visualization"/>
  </cacheSource>
  <cacheFields count="8">
    <cacheField name="Clothing" numFmtId="0">
      <sharedItems/>
    </cacheField>
    <cacheField name="Product" numFmtId="0">
      <sharedItems count="16">
        <s v="Laptop"/>
        <s v="Mobile"/>
        <s v="Shirt"/>
        <s v="Rice"/>
        <s v="Chair"/>
        <s v="Tablet"/>
        <s v="Jeans"/>
        <s v="Oil"/>
        <s v="Table"/>
        <s v="Headphones"/>
        <s v="Jacket"/>
        <s v="Sugar"/>
        <s v="Sofa"/>
        <s v="T-shirt"/>
        <s v="Wheat"/>
        <s v="Bed"/>
      </sharedItems>
    </cacheField>
    <cacheField name="Date" numFmtId="14">
      <sharedItems containsSemiMixedTypes="0" containsNonDate="0" containsDate="1" containsString="0" minDate="2025-01-05T00:00:00" maxDate="2025-05-13T00:00:00"/>
    </cacheField>
    <cacheField name="Price" numFmtId="0">
      <sharedItems containsSemiMixedTypes="0" containsString="0" containsNumber="1" containsInteger="1" minValue="45" maxValue="60000"/>
    </cacheField>
    <cacheField name="Quantity" numFmtId="0">
      <sharedItems containsSemiMixedTypes="0" containsString="0" containsNumber="1" containsInteger="1" minValue="1" maxValue="60"/>
    </cacheField>
    <cacheField name="Sales" numFmtId="0">
      <sharedItems containsSemiMixedTypes="0" containsString="0" containsNumber="1" containsInteger="1" minValue="2000" maxValue="110000"/>
    </cacheField>
    <cacheField name="Profit" numFmtId="0">
      <sharedItems containsSemiMixedTypes="0" containsString="0" containsNumber="1" containsInteger="1" minValue="400" maxValue="22000"/>
    </cacheField>
    <cacheField name="Location" numFmtId="0">
      <sharedItems count="5">
        <s v="Bangalore"/>
        <s v="Kochi"/>
        <s v="Vellore"/>
        <s v="Delhi"/>
        <s v="Chenna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x v="0"/>
    <n v="55000"/>
    <n v="2"/>
    <n v="110000"/>
    <n v="22000"/>
  </r>
  <r>
    <x v="0"/>
    <x v="1"/>
    <x v="1"/>
    <n v="20000"/>
    <n v="3"/>
    <n v="60000"/>
    <n v="12000"/>
  </r>
  <r>
    <x v="1"/>
    <x v="2"/>
    <x v="2"/>
    <n v="1200"/>
    <n v="5"/>
    <n v="6000"/>
    <n v="1200"/>
  </r>
  <r>
    <x v="2"/>
    <x v="3"/>
    <x v="3"/>
    <n v="80"/>
    <n v="50"/>
    <n v="4000"/>
    <n v="800"/>
  </r>
  <r>
    <x v="3"/>
    <x v="4"/>
    <x v="4"/>
    <n v="2500"/>
    <n v="4"/>
    <n v="10000"/>
    <n v="2000"/>
  </r>
  <r>
    <x v="0"/>
    <x v="5"/>
    <x v="5"/>
    <n v="18000"/>
    <n v="2"/>
    <n v="36000"/>
    <n v="7200"/>
  </r>
  <r>
    <x v="1"/>
    <x v="6"/>
    <x v="6"/>
    <n v="2000"/>
    <n v="3"/>
    <n v="6000"/>
    <n v="1200"/>
  </r>
  <r>
    <x v="2"/>
    <x v="7"/>
    <x v="7"/>
    <n v="150"/>
    <n v="20"/>
    <n v="3000"/>
    <n v="600"/>
  </r>
  <r>
    <x v="3"/>
    <x v="8"/>
    <x v="8"/>
    <n v="6000"/>
    <n v="2"/>
    <n v="12000"/>
    <n v="2400"/>
  </r>
  <r>
    <x v="0"/>
    <x v="9"/>
    <x v="9"/>
    <n v="3000"/>
    <n v="4"/>
    <n v="12000"/>
    <n v="2400"/>
  </r>
  <r>
    <x v="1"/>
    <x v="10"/>
    <x v="10"/>
    <n v="3500"/>
    <n v="2"/>
    <n v="7000"/>
    <n v="1400"/>
  </r>
  <r>
    <x v="2"/>
    <x v="11"/>
    <x v="11"/>
    <n v="45"/>
    <n v="60"/>
    <n v="2700"/>
    <n v="540"/>
  </r>
  <r>
    <x v="3"/>
    <x v="12"/>
    <x v="12"/>
    <n v="20000"/>
    <n v="1"/>
    <n v="20000"/>
    <n v="4000"/>
  </r>
  <r>
    <x v="0"/>
    <x v="0"/>
    <x v="13"/>
    <n v="58000"/>
    <n v="1"/>
    <n v="58000"/>
    <n v="11600"/>
  </r>
  <r>
    <x v="1"/>
    <x v="13"/>
    <x v="14"/>
    <n v="700"/>
    <n v="6"/>
    <n v="4200"/>
    <n v="840"/>
  </r>
  <r>
    <x v="2"/>
    <x v="14"/>
    <x v="15"/>
    <n v="60"/>
    <n v="40"/>
    <n v="2400"/>
    <n v="480"/>
  </r>
  <r>
    <x v="3"/>
    <x v="15"/>
    <x v="16"/>
    <n v="30000"/>
    <n v="1"/>
    <n v="30000"/>
    <n v="6000"/>
  </r>
  <r>
    <x v="0"/>
    <x v="1"/>
    <x v="17"/>
    <n v="22000"/>
    <n v="2"/>
    <n v="44000"/>
    <n v="8800"/>
  </r>
  <r>
    <x v="1"/>
    <x v="2"/>
    <x v="18"/>
    <n v="1300"/>
    <n v="4"/>
    <n v="5200"/>
    <n v="1040"/>
  </r>
  <r>
    <x v="2"/>
    <x v="3"/>
    <x v="19"/>
    <n v="85"/>
    <n v="45"/>
    <n v="3825"/>
    <n v="765"/>
  </r>
  <r>
    <x v="0"/>
    <x v="0"/>
    <x v="20"/>
    <n v="56000"/>
    <n v="1"/>
    <n v="56000"/>
    <n v="11200"/>
  </r>
  <r>
    <x v="0"/>
    <x v="1"/>
    <x v="21"/>
    <n v="21000"/>
    <n v="2"/>
    <n v="42000"/>
    <n v="8400"/>
  </r>
  <r>
    <x v="1"/>
    <x v="2"/>
    <x v="22"/>
    <n v="1300"/>
    <n v="4"/>
    <n v="5200"/>
    <n v="1040"/>
  </r>
  <r>
    <x v="2"/>
    <x v="3"/>
    <x v="23"/>
    <n v="85"/>
    <n v="40"/>
    <n v="3400"/>
    <n v="680"/>
  </r>
  <r>
    <x v="3"/>
    <x v="4"/>
    <x v="24"/>
    <n v="2600"/>
    <n v="3"/>
    <n v="7800"/>
    <n v="1560"/>
  </r>
  <r>
    <x v="0"/>
    <x v="5"/>
    <x v="25"/>
    <n v="17000"/>
    <n v="2"/>
    <n v="34000"/>
    <n v="6800"/>
  </r>
  <r>
    <x v="1"/>
    <x v="6"/>
    <x v="26"/>
    <n v="2100"/>
    <n v="2"/>
    <n v="4200"/>
    <n v="840"/>
  </r>
  <r>
    <x v="2"/>
    <x v="11"/>
    <x v="27"/>
    <n v="50"/>
    <n v="60"/>
    <n v="3000"/>
    <n v="600"/>
  </r>
  <r>
    <x v="3"/>
    <x v="8"/>
    <x v="28"/>
    <n v="6500"/>
    <n v="1"/>
    <n v="6500"/>
    <n v="1300"/>
  </r>
  <r>
    <x v="0"/>
    <x v="9"/>
    <x v="29"/>
    <n v="3200"/>
    <n v="3"/>
    <n v="9600"/>
    <n v="1920"/>
  </r>
  <r>
    <x v="1"/>
    <x v="10"/>
    <x v="30"/>
    <n v="3600"/>
    <n v="2"/>
    <n v="7200"/>
    <n v="1440"/>
  </r>
  <r>
    <x v="2"/>
    <x v="7"/>
    <x v="31"/>
    <n v="155"/>
    <n v="20"/>
    <n v="3100"/>
    <n v="620"/>
  </r>
  <r>
    <x v="3"/>
    <x v="12"/>
    <x v="32"/>
    <n v="21000"/>
    <n v="1"/>
    <n v="21000"/>
    <n v="4200"/>
  </r>
  <r>
    <x v="0"/>
    <x v="0"/>
    <x v="33"/>
    <n v="57000"/>
    <n v="1"/>
    <n v="57000"/>
    <n v="11400"/>
  </r>
  <r>
    <x v="1"/>
    <x v="13"/>
    <x v="34"/>
    <n v="750"/>
    <n v="5"/>
    <n v="3750"/>
    <n v="750"/>
  </r>
  <r>
    <x v="2"/>
    <x v="14"/>
    <x v="35"/>
    <n v="65"/>
    <n v="40"/>
    <n v="2600"/>
    <n v="520"/>
  </r>
  <r>
    <x v="3"/>
    <x v="15"/>
    <x v="36"/>
    <n v="32000"/>
    <n v="1"/>
    <n v="32000"/>
    <n v="6400"/>
  </r>
  <r>
    <x v="0"/>
    <x v="1"/>
    <x v="37"/>
    <n v="23000"/>
    <n v="2"/>
    <n v="46000"/>
    <n v="9200"/>
  </r>
  <r>
    <x v="1"/>
    <x v="2"/>
    <x v="38"/>
    <n v="1400"/>
    <n v="3"/>
    <n v="4200"/>
    <n v="840"/>
  </r>
  <r>
    <x v="2"/>
    <x v="3"/>
    <x v="39"/>
    <n v="90"/>
    <n v="30"/>
    <n v="2700"/>
    <n v="540"/>
  </r>
  <r>
    <x v="0"/>
    <x v="0"/>
    <x v="40"/>
    <n v="55000"/>
    <n v="2"/>
    <n v="110000"/>
    <n v="22000"/>
  </r>
  <r>
    <x v="0"/>
    <x v="5"/>
    <x v="41"/>
    <n v="16000"/>
    <n v="2"/>
    <n v="32000"/>
    <n v="6400"/>
  </r>
  <r>
    <x v="1"/>
    <x v="6"/>
    <x v="42"/>
    <n v="2000"/>
    <n v="3"/>
    <n v="6000"/>
    <n v="1200"/>
  </r>
  <r>
    <x v="2"/>
    <x v="7"/>
    <x v="43"/>
    <n v="150"/>
    <n v="25"/>
    <n v="3750"/>
    <n v="750"/>
  </r>
  <r>
    <x v="3"/>
    <x v="4"/>
    <x v="44"/>
    <n v="2400"/>
    <n v="4"/>
    <n v="9600"/>
    <n v="1920"/>
  </r>
  <r>
    <x v="0"/>
    <x v="9"/>
    <x v="45"/>
    <n v="3000"/>
    <n v="3"/>
    <n v="9000"/>
    <n v="1800"/>
  </r>
  <r>
    <x v="1"/>
    <x v="10"/>
    <x v="46"/>
    <n v="3400"/>
    <n v="2"/>
    <n v="6800"/>
    <n v="1360"/>
  </r>
  <r>
    <x v="2"/>
    <x v="11"/>
    <x v="47"/>
    <n v="45"/>
    <n v="50"/>
    <n v="2250"/>
    <n v="450"/>
  </r>
  <r>
    <x v="3"/>
    <x v="8"/>
    <x v="48"/>
    <n v="6000"/>
    <n v="2"/>
    <n v="12000"/>
    <n v="2400"/>
  </r>
  <r>
    <x v="0"/>
    <x v="1"/>
    <x v="49"/>
    <n v="22000"/>
    <n v="1"/>
    <n v="22000"/>
    <n v="4400"/>
  </r>
  <r>
    <x v="1"/>
    <x v="2"/>
    <x v="50"/>
    <n v="1200"/>
    <n v="4"/>
    <n v="4800"/>
    <n v="960"/>
  </r>
  <r>
    <x v="2"/>
    <x v="3"/>
    <x v="51"/>
    <n v="80"/>
    <n v="45"/>
    <n v="3600"/>
    <n v="720"/>
  </r>
  <r>
    <x v="3"/>
    <x v="12"/>
    <x v="52"/>
    <n v="20000"/>
    <n v="1"/>
    <n v="20000"/>
    <n v="4000"/>
  </r>
  <r>
    <x v="0"/>
    <x v="0"/>
    <x v="53"/>
    <n v="59000"/>
    <n v="1"/>
    <n v="59000"/>
    <n v="11800"/>
  </r>
  <r>
    <x v="1"/>
    <x v="13"/>
    <x v="54"/>
    <n v="800"/>
    <n v="5"/>
    <n v="4000"/>
    <n v="800"/>
  </r>
  <r>
    <x v="2"/>
    <x v="14"/>
    <x v="55"/>
    <n v="60"/>
    <n v="50"/>
    <n v="3000"/>
    <n v="600"/>
  </r>
  <r>
    <x v="3"/>
    <x v="15"/>
    <x v="56"/>
    <n v="31000"/>
    <n v="1"/>
    <n v="31000"/>
    <n v="6200"/>
  </r>
  <r>
    <x v="0"/>
    <x v="1"/>
    <x v="57"/>
    <n v="24000"/>
    <n v="2"/>
    <n v="48000"/>
    <n v="9600"/>
  </r>
  <r>
    <x v="1"/>
    <x v="6"/>
    <x v="58"/>
    <n v="2100"/>
    <n v="2"/>
    <n v="4200"/>
    <n v="840"/>
  </r>
  <r>
    <x v="2"/>
    <x v="7"/>
    <x v="59"/>
    <n v="160"/>
    <n v="20"/>
    <n v="3200"/>
    <n v="640"/>
  </r>
  <r>
    <x v="3"/>
    <x v="4"/>
    <x v="60"/>
    <n v="2500"/>
    <n v="3"/>
    <n v="7500"/>
    <n v="1500"/>
  </r>
  <r>
    <x v="0"/>
    <x v="5"/>
    <x v="61"/>
    <n v="18000"/>
    <n v="1"/>
    <n v="18000"/>
    <n v="3600"/>
  </r>
  <r>
    <x v="1"/>
    <x v="10"/>
    <x v="62"/>
    <n v="3500"/>
    <n v="2"/>
    <n v="7000"/>
    <n v="1400"/>
  </r>
  <r>
    <x v="2"/>
    <x v="11"/>
    <x v="63"/>
    <n v="50"/>
    <n v="40"/>
    <n v="2000"/>
    <n v="400"/>
  </r>
  <r>
    <x v="3"/>
    <x v="8"/>
    <x v="64"/>
    <n v="6200"/>
    <n v="1"/>
    <n v="6200"/>
    <n v="1240"/>
  </r>
  <r>
    <x v="0"/>
    <x v="9"/>
    <x v="65"/>
    <n v="3100"/>
    <n v="3"/>
    <n v="9300"/>
    <n v="1860"/>
  </r>
  <r>
    <x v="1"/>
    <x v="2"/>
    <x v="66"/>
    <n v="1250"/>
    <n v="4"/>
    <n v="5000"/>
    <n v="1000"/>
  </r>
  <r>
    <x v="2"/>
    <x v="3"/>
    <x v="67"/>
    <n v="85"/>
    <n v="35"/>
    <n v="2975"/>
    <n v="595"/>
  </r>
  <r>
    <x v="3"/>
    <x v="12"/>
    <x v="68"/>
    <n v="21000"/>
    <n v="1"/>
    <n v="21000"/>
    <n v="4200"/>
  </r>
  <r>
    <x v="0"/>
    <x v="0"/>
    <x v="69"/>
    <n v="60000"/>
    <n v="1"/>
    <n v="60000"/>
    <n v="12000"/>
  </r>
  <r>
    <x v="1"/>
    <x v="13"/>
    <x v="70"/>
    <n v="750"/>
    <n v="6"/>
    <n v="4500"/>
    <n v="900"/>
  </r>
  <r>
    <x v="2"/>
    <x v="14"/>
    <x v="71"/>
    <n v="70"/>
    <n v="30"/>
    <n v="2100"/>
    <n v="420"/>
  </r>
  <r>
    <x v="3"/>
    <x v="15"/>
    <x v="72"/>
    <n v="33000"/>
    <n v="1"/>
    <n v="33000"/>
    <n v="6600"/>
  </r>
  <r>
    <x v="0"/>
    <x v="1"/>
    <x v="73"/>
    <n v="23000"/>
    <n v="1"/>
    <n v="23000"/>
    <n v="4600"/>
  </r>
  <r>
    <x v="1"/>
    <x v="6"/>
    <x v="74"/>
    <n v="2200"/>
    <n v="2"/>
    <n v="4400"/>
    <n v="880"/>
  </r>
  <r>
    <x v="2"/>
    <x v="7"/>
    <x v="75"/>
    <n v="155"/>
    <n v="20"/>
    <n v="3100"/>
    <n v="620"/>
  </r>
  <r>
    <x v="3"/>
    <x v="4"/>
    <x v="76"/>
    <n v="2600"/>
    <n v="2"/>
    <n v="5200"/>
    <n v="1040"/>
  </r>
  <r>
    <x v="0"/>
    <x v="5"/>
    <x v="77"/>
    <n v="17000"/>
    <n v="2"/>
    <n v="34000"/>
    <n v="6800"/>
  </r>
  <r>
    <x v="1"/>
    <x v="2"/>
    <x v="78"/>
    <n v="1350"/>
    <n v="3"/>
    <n v="4050"/>
    <n v="810"/>
  </r>
  <r>
    <x v="2"/>
    <x v="3"/>
    <x v="79"/>
    <n v="90"/>
    <n v="40"/>
    <n v="3600"/>
    <n v="720"/>
  </r>
  <r>
    <x v="3"/>
    <x v="8"/>
    <x v="80"/>
    <n v="6500"/>
    <n v="1"/>
    <n v="6500"/>
    <n v="1300"/>
  </r>
  <r>
    <x v="0"/>
    <x v="9"/>
    <x v="81"/>
    <n v="3200"/>
    <n v="2"/>
    <n v="6400"/>
    <n v="1280"/>
  </r>
  <r>
    <x v="1"/>
    <x v="10"/>
    <x v="82"/>
    <n v="3600"/>
    <n v="1"/>
    <n v="3600"/>
    <n v="720"/>
  </r>
  <r>
    <x v="2"/>
    <x v="11"/>
    <x v="83"/>
    <n v="48"/>
    <n v="50"/>
    <n v="2400"/>
    <n v="480"/>
  </r>
  <r>
    <x v="3"/>
    <x v="12"/>
    <x v="84"/>
    <n v="22000"/>
    <n v="1"/>
    <n v="22000"/>
    <n v="4400"/>
  </r>
  <r>
    <x v="0"/>
    <x v="0"/>
    <x v="85"/>
    <n v="58000"/>
    <n v="1"/>
    <n v="58000"/>
    <n v="11600"/>
  </r>
  <r>
    <x v="1"/>
    <x v="13"/>
    <x v="86"/>
    <n v="800"/>
    <n v="4"/>
    <n v="3200"/>
    <n v="640"/>
  </r>
  <r>
    <x v="2"/>
    <x v="14"/>
    <x v="87"/>
    <n v="65"/>
    <n v="45"/>
    <n v="2925"/>
    <n v="585"/>
  </r>
  <r>
    <x v="3"/>
    <x v="15"/>
    <x v="88"/>
    <n v="34000"/>
    <n v="1"/>
    <n v="34000"/>
    <n v="6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Electronics"/>
    <x v="0"/>
    <d v="2025-01-05T00:00:00"/>
    <n v="55000"/>
    <n v="2"/>
    <n v="110000"/>
    <n v="22000"/>
    <x v="0"/>
  </r>
  <r>
    <s v="Electronics"/>
    <x v="1"/>
    <d v="2025-01-08T00:00:00"/>
    <n v="20000"/>
    <n v="3"/>
    <n v="60000"/>
    <n v="12000"/>
    <x v="1"/>
  </r>
  <r>
    <s v="Clothing"/>
    <x v="2"/>
    <d v="2025-01-10T00:00:00"/>
    <n v="1200"/>
    <n v="5"/>
    <n v="6000"/>
    <n v="1200"/>
    <x v="2"/>
  </r>
  <r>
    <s v="Grocery"/>
    <x v="3"/>
    <d v="2025-01-12T00:00:00"/>
    <n v="80"/>
    <n v="50"/>
    <n v="4000"/>
    <n v="800"/>
    <x v="3"/>
  </r>
  <r>
    <s v="Furniture"/>
    <x v="4"/>
    <d v="2025-01-15T00:00:00"/>
    <n v="2500"/>
    <n v="4"/>
    <n v="10000"/>
    <n v="2000"/>
    <x v="4"/>
  </r>
  <r>
    <s v="Electronics"/>
    <x v="5"/>
    <d v="2025-01-18T00:00:00"/>
    <n v="18000"/>
    <n v="2"/>
    <n v="36000"/>
    <n v="7200"/>
    <x v="0"/>
  </r>
  <r>
    <s v="Clothing"/>
    <x v="6"/>
    <d v="2025-01-20T00:00:00"/>
    <n v="2000"/>
    <n v="3"/>
    <n v="6000"/>
    <n v="1200"/>
    <x v="1"/>
  </r>
  <r>
    <s v="Grocery"/>
    <x v="7"/>
    <d v="2025-01-23T00:00:00"/>
    <n v="150"/>
    <n v="20"/>
    <n v="3000"/>
    <n v="600"/>
    <x v="2"/>
  </r>
  <r>
    <s v="Furniture"/>
    <x v="8"/>
    <d v="2025-01-25T00:00:00"/>
    <n v="6000"/>
    <n v="2"/>
    <n v="12000"/>
    <n v="2400"/>
    <x v="3"/>
  </r>
  <r>
    <s v="Electronics"/>
    <x v="9"/>
    <d v="2025-01-28T00:00:00"/>
    <n v="3000"/>
    <n v="4"/>
    <n v="12000"/>
    <n v="2400"/>
    <x v="4"/>
  </r>
  <r>
    <s v="Clothing"/>
    <x v="10"/>
    <d v="2025-02-02T00:00:00"/>
    <n v="3500"/>
    <n v="2"/>
    <n v="7000"/>
    <n v="1400"/>
    <x v="0"/>
  </r>
  <r>
    <s v="Grocery"/>
    <x v="11"/>
    <d v="2025-02-05T00:00:00"/>
    <n v="45"/>
    <n v="60"/>
    <n v="2700"/>
    <n v="540"/>
    <x v="1"/>
  </r>
  <r>
    <s v="Furniture"/>
    <x v="12"/>
    <d v="2025-02-08T00:00:00"/>
    <n v="20000"/>
    <n v="1"/>
    <n v="20000"/>
    <n v="4000"/>
    <x v="2"/>
  </r>
  <r>
    <s v="Electronics"/>
    <x v="0"/>
    <d v="2025-02-12T00:00:00"/>
    <n v="58000"/>
    <n v="1"/>
    <n v="58000"/>
    <n v="11600"/>
    <x v="3"/>
  </r>
  <r>
    <s v="Clothing"/>
    <x v="13"/>
    <d v="2025-02-15T00:00:00"/>
    <n v="700"/>
    <n v="6"/>
    <n v="4200"/>
    <n v="840"/>
    <x v="4"/>
  </r>
  <r>
    <s v="Grocery"/>
    <x v="14"/>
    <d v="2025-02-18T00:00:00"/>
    <n v="60"/>
    <n v="40"/>
    <n v="2400"/>
    <n v="480"/>
    <x v="0"/>
  </r>
  <r>
    <s v="Furniture"/>
    <x v="15"/>
    <d v="2025-02-21T00:00:00"/>
    <n v="30000"/>
    <n v="1"/>
    <n v="30000"/>
    <n v="6000"/>
    <x v="1"/>
  </r>
  <r>
    <s v="Electronics"/>
    <x v="1"/>
    <d v="2025-02-25T00:00:00"/>
    <n v="22000"/>
    <n v="2"/>
    <n v="44000"/>
    <n v="8800"/>
    <x v="2"/>
  </r>
  <r>
    <s v="Clothing"/>
    <x v="2"/>
    <d v="2025-02-28T00:00:00"/>
    <n v="1300"/>
    <n v="4"/>
    <n v="5200"/>
    <n v="1040"/>
    <x v="3"/>
  </r>
  <r>
    <s v="Grocery"/>
    <x v="3"/>
    <d v="2025-03-03T00:00:00"/>
    <n v="85"/>
    <n v="45"/>
    <n v="3825"/>
    <n v="765"/>
    <x v="4"/>
  </r>
  <r>
    <s v="Electronics"/>
    <x v="0"/>
    <d v="2025-03-05T00:00:00"/>
    <n v="56000"/>
    <n v="1"/>
    <n v="56000"/>
    <n v="11200"/>
    <x v="0"/>
  </r>
  <r>
    <s v="Electronics"/>
    <x v="1"/>
    <d v="2025-03-06T00:00:00"/>
    <n v="21000"/>
    <n v="2"/>
    <n v="42000"/>
    <n v="8400"/>
    <x v="1"/>
  </r>
  <r>
    <s v="Clothing"/>
    <x v="2"/>
    <d v="2025-03-07T00:00:00"/>
    <n v="1300"/>
    <n v="4"/>
    <n v="5200"/>
    <n v="1040"/>
    <x v="2"/>
  </r>
  <r>
    <s v="Grocery"/>
    <x v="3"/>
    <d v="2025-03-08T00:00:00"/>
    <n v="85"/>
    <n v="40"/>
    <n v="3400"/>
    <n v="680"/>
    <x v="3"/>
  </r>
  <r>
    <s v="Furniture"/>
    <x v="4"/>
    <d v="2025-03-09T00:00:00"/>
    <n v="2600"/>
    <n v="3"/>
    <n v="7800"/>
    <n v="1560"/>
    <x v="4"/>
  </r>
  <r>
    <s v="Electronics"/>
    <x v="5"/>
    <d v="2025-03-10T00:00:00"/>
    <n v="17000"/>
    <n v="2"/>
    <n v="34000"/>
    <n v="6800"/>
    <x v="0"/>
  </r>
  <r>
    <s v="Clothing"/>
    <x v="6"/>
    <d v="2025-03-11T00:00:00"/>
    <n v="2100"/>
    <n v="2"/>
    <n v="4200"/>
    <n v="840"/>
    <x v="1"/>
  </r>
  <r>
    <s v="Grocery"/>
    <x v="11"/>
    <d v="2025-03-12T00:00:00"/>
    <n v="50"/>
    <n v="60"/>
    <n v="3000"/>
    <n v="600"/>
    <x v="2"/>
  </r>
  <r>
    <s v="Furniture"/>
    <x v="8"/>
    <d v="2025-03-13T00:00:00"/>
    <n v="6500"/>
    <n v="1"/>
    <n v="6500"/>
    <n v="1300"/>
    <x v="3"/>
  </r>
  <r>
    <s v="Electronics"/>
    <x v="9"/>
    <d v="2025-03-14T00:00:00"/>
    <n v="3200"/>
    <n v="3"/>
    <n v="9600"/>
    <n v="1920"/>
    <x v="4"/>
  </r>
  <r>
    <s v="Clothing"/>
    <x v="10"/>
    <d v="2025-03-15T00:00:00"/>
    <n v="3600"/>
    <n v="2"/>
    <n v="7200"/>
    <n v="1440"/>
    <x v="0"/>
  </r>
  <r>
    <s v="Grocery"/>
    <x v="7"/>
    <d v="2025-03-16T00:00:00"/>
    <n v="155"/>
    <n v="20"/>
    <n v="3100"/>
    <n v="620"/>
    <x v="1"/>
  </r>
  <r>
    <s v="Furniture"/>
    <x v="12"/>
    <d v="2025-03-17T00:00:00"/>
    <n v="21000"/>
    <n v="1"/>
    <n v="21000"/>
    <n v="4200"/>
    <x v="2"/>
  </r>
  <r>
    <s v="Electronics"/>
    <x v="0"/>
    <d v="2025-03-18T00:00:00"/>
    <n v="57000"/>
    <n v="1"/>
    <n v="57000"/>
    <n v="11400"/>
    <x v="3"/>
  </r>
  <r>
    <s v="Clothing"/>
    <x v="13"/>
    <d v="2025-03-19T00:00:00"/>
    <n v="750"/>
    <n v="5"/>
    <n v="3750"/>
    <n v="750"/>
    <x v="4"/>
  </r>
  <r>
    <s v="Grocery"/>
    <x v="14"/>
    <d v="2025-03-20T00:00:00"/>
    <n v="65"/>
    <n v="40"/>
    <n v="2600"/>
    <n v="520"/>
    <x v="0"/>
  </r>
  <r>
    <s v="Furniture"/>
    <x v="15"/>
    <d v="2025-03-21T00:00:00"/>
    <n v="32000"/>
    <n v="1"/>
    <n v="32000"/>
    <n v="6400"/>
    <x v="1"/>
  </r>
  <r>
    <s v="Electronics"/>
    <x v="1"/>
    <d v="2025-03-22T00:00:00"/>
    <n v="23000"/>
    <n v="2"/>
    <n v="46000"/>
    <n v="9200"/>
    <x v="2"/>
  </r>
  <r>
    <s v="Clothing"/>
    <x v="2"/>
    <d v="2025-03-23T00:00:00"/>
    <n v="1400"/>
    <n v="3"/>
    <n v="4200"/>
    <n v="840"/>
    <x v="3"/>
  </r>
  <r>
    <s v="Grocery"/>
    <x v="3"/>
    <d v="2025-03-24T00:00:00"/>
    <n v="90"/>
    <n v="30"/>
    <n v="2700"/>
    <n v="540"/>
    <x v="4"/>
  </r>
  <r>
    <s v="Electronics"/>
    <x v="0"/>
    <d v="2025-03-25T00:00:00"/>
    <n v="55000"/>
    <n v="2"/>
    <n v="110000"/>
    <n v="22000"/>
    <x v="0"/>
  </r>
  <r>
    <s v="Electronics"/>
    <x v="5"/>
    <d v="2025-03-26T00:00:00"/>
    <n v="16000"/>
    <n v="2"/>
    <n v="32000"/>
    <n v="6400"/>
    <x v="1"/>
  </r>
  <r>
    <s v="Clothing"/>
    <x v="6"/>
    <d v="2025-03-27T00:00:00"/>
    <n v="2000"/>
    <n v="3"/>
    <n v="6000"/>
    <n v="1200"/>
    <x v="2"/>
  </r>
  <r>
    <s v="Grocery"/>
    <x v="7"/>
    <d v="2025-03-28T00:00:00"/>
    <n v="150"/>
    <n v="25"/>
    <n v="3750"/>
    <n v="750"/>
    <x v="3"/>
  </r>
  <r>
    <s v="Furniture"/>
    <x v="4"/>
    <d v="2025-03-29T00:00:00"/>
    <n v="2400"/>
    <n v="4"/>
    <n v="9600"/>
    <n v="1920"/>
    <x v="4"/>
  </r>
  <r>
    <s v="Electronics"/>
    <x v="9"/>
    <d v="2025-03-30T00:00:00"/>
    <n v="3000"/>
    <n v="3"/>
    <n v="9000"/>
    <n v="1800"/>
    <x v="0"/>
  </r>
  <r>
    <s v="Clothing"/>
    <x v="10"/>
    <d v="2025-03-31T00:00:00"/>
    <n v="3400"/>
    <n v="2"/>
    <n v="6800"/>
    <n v="1360"/>
    <x v="1"/>
  </r>
  <r>
    <s v="Grocery"/>
    <x v="11"/>
    <d v="2025-04-01T00:00:00"/>
    <n v="45"/>
    <n v="50"/>
    <n v="2250"/>
    <n v="450"/>
    <x v="2"/>
  </r>
  <r>
    <s v="Furniture"/>
    <x v="8"/>
    <d v="2025-04-02T00:00:00"/>
    <n v="6000"/>
    <n v="2"/>
    <n v="12000"/>
    <n v="2400"/>
    <x v="3"/>
  </r>
  <r>
    <s v="Electronics"/>
    <x v="1"/>
    <d v="2025-04-03T00:00:00"/>
    <n v="22000"/>
    <n v="1"/>
    <n v="22000"/>
    <n v="4400"/>
    <x v="4"/>
  </r>
  <r>
    <s v="Clothing"/>
    <x v="2"/>
    <d v="2025-04-04T00:00:00"/>
    <n v="1200"/>
    <n v="4"/>
    <n v="4800"/>
    <n v="960"/>
    <x v="0"/>
  </r>
  <r>
    <s v="Grocery"/>
    <x v="3"/>
    <d v="2025-04-05T00:00:00"/>
    <n v="80"/>
    <n v="45"/>
    <n v="3600"/>
    <n v="720"/>
    <x v="1"/>
  </r>
  <r>
    <s v="Furniture"/>
    <x v="12"/>
    <d v="2025-04-06T00:00:00"/>
    <n v="20000"/>
    <n v="1"/>
    <n v="20000"/>
    <n v="4000"/>
    <x v="2"/>
  </r>
  <r>
    <s v="Electronics"/>
    <x v="0"/>
    <d v="2025-04-07T00:00:00"/>
    <n v="59000"/>
    <n v="1"/>
    <n v="59000"/>
    <n v="11800"/>
    <x v="3"/>
  </r>
  <r>
    <s v="Clothing"/>
    <x v="13"/>
    <d v="2025-04-08T00:00:00"/>
    <n v="800"/>
    <n v="5"/>
    <n v="4000"/>
    <n v="800"/>
    <x v="4"/>
  </r>
  <r>
    <s v="Grocery"/>
    <x v="14"/>
    <d v="2025-04-09T00:00:00"/>
    <n v="60"/>
    <n v="50"/>
    <n v="3000"/>
    <n v="600"/>
    <x v="0"/>
  </r>
  <r>
    <s v="Furniture"/>
    <x v="15"/>
    <d v="2025-04-10T00:00:00"/>
    <n v="31000"/>
    <n v="1"/>
    <n v="31000"/>
    <n v="6200"/>
    <x v="1"/>
  </r>
  <r>
    <s v="Electronics"/>
    <x v="1"/>
    <d v="2025-04-11T00:00:00"/>
    <n v="24000"/>
    <n v="2"/>
    <n v="48000"/>
    <n v="9600"/>
    <x v="2"/>
  </r>
  <r>
    <s v="Clothing"/>
    <x v="6"/>
    <d v="2025-04-12T00:00:00"/>
    <n v="2100"/>
    <n v="2"/>
    <n v="4200"/>
    <n v="840"/>
    <x v="3"/>
  </r>
  <r>
    <s v="Grocery"/>
    <x v="7"/>
    <d v="2025-04-13T00:00:00"/>
    <n v="160"/>
    <n v="20"/>
    <n v="3200"/>
    <n v="640"/>
    <x v="4"/>
  </r>
  <r>
    <s v="Furniture"/>
    <x v="4"/>
    <d v="2025-04-14T00:00:00"/>
    <n v="2500"/>
    <n v="3"/>
    <n v="7500"/>
    <n v="1500"/>
    <x v="0"/>
  </r>
  <r>
    <s v="Electronics"/>
    <x v="5"/>
    <d v="2025-04-15T00:00:00"/>
    <n v="18000"/>
    <n v="1"/>
    <n v="18000"/>
    <n v="3600"/>
    <x v="1"/>
  </r>
  <r>
    <s v="Clothing"/>
    <x v="10"/>
    <d v="2025-04-16T00:00:00"/>
    <n v="3500"/>
    <n v="2"/>
    <n v="7000"/>
    <n v="1400"/>
    <x v="2"/>
  </r>
  <r>
    <s v="Grocery"/>
    <x v="11"/>
    <d v="2025-04-17T00:00:00"/>
    <n v="50"/>
    <n v="40"/>
    <n v="2000"/>
    <n v="400"/>
    <x v="3"/>
  </r>
  <r>
    <s v="Furniture"/>
    <x v="8"/>
    <d v="2025-04-18T00:00:00"/>
    <n v="6200"/>
    <n v="1"/>
    <n v="6200"/>
    <n v="1240"/>
    <x v="4"/>
  </r>
  <r>
    <s v="Electronics"/>
    <x v="9"/>
    <d v="2025-04-19T00:00:00"/>
    <n v="3100"/>
    <n v="3"/>
    <n v="9300"/>
    <n v="1860"/>
    <x v="0"/>
  </r>
  <r>
    <s v="Clothing"/>
    <x v="2"/>
    <d v="2025-04-20T00:00:00"/>
    <n v="1250"/>
    <n v="4"/>
    <n v="5000"/>
    <n v="1000"/>
    <x v="1"/>
  </r>
  <r>
    <s v="Grocery"/>
    <x v="3"/>
    <d v="2025-04-21T00:00:00"/>
    <n v="85"/>
    <n v="35"/>
    <n v="2975"/>
    <n v="595"/>
    <x v="2"/>
  </r>
  <r>
    <s v="Furniture"/>
    <x v="12"/>
    <d v="2025-04-22T00:00:00"/>
    <n v="21000"/>
    <n v="1"/>
    <n v="21000"/>
    <n v="4200"/>
    <x v="3"/>
  </r>
  <r>
    <s v="Electronics"/>
    <x v="0"/>
    <d v="2025-04-23T00:00:00"/>
    <n v="60000"/>
    <n v="1"/>
    <n v="60000"/>
    <n v="12000"/>
    <x v="4"/>
  </r>
  <r>
    <s v="Clothing"/>
    <x v="13"/>
    <d v="2025-04-24T00:00:00"/>
    <n v="750"/>
    <n v="6"/>
    <n v="4500"/>
    <n v="900"/>
    <x v="0"/>
  </r>
  <r>
    <s v="Grocery"/>
    <x v="14"/>
    <d v="2025-04-25T00:00:00"/>
    <n v="70"/>
    <n v="30"/>
    <n v="2100"/>
    <n v="420"/>
    <x v="1"/>
  </r>
  <r>
    <s v="Furniture"/>
    <x v="15"/>
    <d v="2025-04-26T00:00:00"/>
    <n v="33000"/>
    <n v="1"/>
    <n v="33000"/>
    <n v="6600"/>
    <x v="2"/>
  </r>
  <r>
    <s v="Electronics"/>
    <x v="1"/>
    <d v="2025-04-27T00:00:00"/>
    <n v="23000"/>
    <n v="1"/>
    <n v="23000"/>
    <n v="4600"/>
    <x v="3"/>
  </r>
  <r>
    <s v="Clothing"/>
    <x v="6"/>
    <d v="2025-04-28T00:00:00"/>
    <n v="2200"/>
    <n v="2"/>
    <n v="4400"/>
    <n v="880"/>
    <x v="4"/>
  </r>
  <r>
    <s v="Grocery"/>
    <x v="7"/>
    <d v="2025-04-29T00:00:00"/>
    <n v="155"/>
    <n v="20"/>
    <n v="3100"/>
    <n v="620"/>
    <x v="0"/>
  </r>
  <r>
    <s v="Furniture"/>
    <x v="4"/>
    <d v="2025-04-30T00:00:00"/>
    <n v="2600"/>
    <n v="2"/>
    <n v="5200"/>
    <n v="1040"/>
    <x v="1"/>
  </r>
  <r>
    <s v="Electronics"/>
    <x v="5"/>
    <d v="2025-05-01T00:00:00"/>
    <n v="17000"/>
    <n v="2"/>
    <n v="34000"/>
    <n v="6800"/>
    <x v="4"/>
  </r>
  <r>
    <s v="Clothing"/>
    <x v="2"/>
    <d v="2025-05-02T00:00:00"/>
    <n v="1350"/>
    <n v="3"/>
    <n v="4050"/>
    <n v="810"/>
    <x v="3"/>
  </r>
  <r>
    <s v="Grocery"/>
    <x v="3"/>
    <d v="2025-05-03T00:00:00"/>
    <n v="90"/>
    <n v="40"/>
    <n v="3600"/>
    <n v="720"/>
    <x v="4"/>
  </r>
  <r>
    <s v="Furniture"/>
    <x v="8"/>
    <d v="2025-05-04T00:00:00"/>
    <n v="6500"/>
    <n v="1"/>
    <n v="6500"/>
    <n v="1300"/>
    <x v="0"/>
  </r>
  <r>
    <s v="Electronics"/>
    <x v="9"/>
    <d v="2025-05-05T00:00:00"/>
    <n v="3200"/>
    <n v="2"/>
    <n v="6400"/>
    <n v="1280"/>
    <x v="1"/>
  </r>
  <r>
    <s v="Clothing"/>
    <x v="10"/>
    <d v="2025-05-06T00:00:00"/>
    <n v="3600"/>
    <n v="1"/>
    <n v="3600"/>
    <n v="720"/>
    <x v="2"/>
  </r>
  <r>
    <s v="Grocery"/>
    <x v="11"/>
    <d v="2025-05-07T00:00:00"/>
    <n v="48"/>
    <n v="50"/>
    <n v="2400"/>
    <n v="480"/>
    <x v="3"/>
  </r>
  <r>
    <s v="Furniture"/>
    <x v="12"/>
    <d v="2025-05-08T00:00:00"/>
    <n v="22000"/>
    <n v="1"/>
    <n v="22000"/>
    <n v="4400"/>
    <x v="4"/>
  </r>
  <r>
    <s v="Electronics"/>
    <x v="0"/>
    <d v="2025-05-09T00:00:00"/>
    <n v="58000"/>
    <n v="1"/>
    <n v="58000"/>
    <n v="11600"/>
    <x v="0"/>
  </r>
  <r>
    <s v="Clothing"/>
    <x v="13"/>
    <d v="2025-05-10T00:00:00"/>
    <n v="800"/>
    <n v="4"/>
    <n v="3200"/>
    <n v="640"/>
    <x v="1"/>
  </r>
  <r>
    <s v="Grocery"/>
    <x v="14"/>
    <d v="2025-05-11T00:00:00"/>
    <n v="65"/>
    <n v="45"/>
    <n v="2925"/>
    <n v="585"/>
    <x v="2"/>
  </r>
  <r>
    <s v="Furniture"/>
    <x v="15"/>
    <d v="2025-05-12T00:00:00"/>
    <n v="34000"/>
    <n v="1"/>
    <n v="34000"/>
    <n v="68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DF58C-A087-4A5A-B01B-3136C70B6FD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C8" firstHeaderRow="0" firstDataRow="1" firstDataCol="1"/>
  <pivotFields count="8">
    <pivotField axis="axisRow" showAll="0">
      <items count="5">
        <item x="1"/>
        <item x="0"/>
        <item x="3"/>
        <item x="2"/>
        <item t="default"/>
      </items>
    </pivotField>
    <pivotField showAll="0">
      <items count="17">
        <item x="15"/>
        <item x="4"/>
        <item x="9"/>
        <item x="10"/>
        <item x="6"/>
        <item x="0"/>
        <item x="1"/>
        <item x="7"/>
        <item x="3"/>
        <item x="2"/>
        <item x="12"/>
        <item x="11"/>
        <item x="8"/>
        <item x="5"/>
        <item x="13"/>
        <item x="14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Sum of Profit" fld="6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204F8-BFFD-40DC-B7F8-2C9BDD528B7D}" name="PivotTable1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5">
  <location ref="A46:B117" firstHeaderRow="1" firstDataRow="1" firstDataCol="1"/>
  <pivotFields count="8">
    <pivotField showAll="0"/>
    <pivotField axis="axisRow" showAll="0">
      <items count="17">
        <item x="15"/>
        <item x="4"/>
        <item x="9"/>
        <item x="10"/>
        <item x="6"/>
        <item x="0"/>
        <item x="1"/>
        <item x="7"/>
        <item x="3"/>
        <item x="2"/>
        <item x="12"/>
        <item x="11"/>
        <item x="8"/>
        <item x="5"/>
        <item x="13"/>
        <item x="14"/>
        <item t="default"/>
      </items>
    </pivotField>
    <pivotField numFmtId="14" showAll="0"/>
    <pivotField showAll="0"/>
    <pivotField showAll="0"/>
    <pivotField dataField="1"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</pivotFields>
  <rowFields count="2">
    <field x="1"/>
    <field x="7"/>
  </rowFields>
  <rowItems count="71">
    <i>
      <x/>
    </i>
    <i r="1">
      <x v="2"/>
    </i>
    <i r="1">
      <x v="3"/>
    </i>
    <i r="1">
      <x v="4"/>
    </i>
    <i>
      <x v="1"/>
    </i>
    <i r="1">
      <x/>
    </i>
    <i r="1">
      <x v="1"/>
    </i>
    <i r="1">
      <x v="3"/>
    </i>
    <i>
      <x v="2"/>
    </i>
    <i r="1">
      <x/>
    </i>
    <i r="1">
      <x v="1"/>
    </i>
    <i r="1">
      <x v="3"/>
    </i>
    <i>
      <x v="3"/>
    </i>
    <i r="1">
      <x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>
      <x v="6"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 v="1"/>
    </i>
    <i r="1">
      <x v="2"/>
    </i>
    <i r="1">
      <x v="3"/>
    </i>
    <i r="1">
      <x v="4"/>
    </i>
    <i>
      <x v="9"/>
    </i>
    <i r="1">
      <x/>
    </i>
    <i r="1">
      <x v="2"/>
    </i>
    <i r="1">
      <x v="3"/>
    </i>
    <i r="1">
      <x v="4"/>
    </i>
    <i>
      <x v="10"/>
    </i>
    <i r="1">
      <x v="1"/>
    </i>
    <i r="1">
      <x v="2"/>
    </i>
    <i r="1">
      <x v="4"/>
    </i>
    <i>
      <x v="11"/>
    </i>
    <i r="1">
      <x v="2"/>
    </i>
    <i r="1">
      <x v="3"/>
    </i>
    <i r="1">
      <x v="4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3"/>
    </i>
    <i>
      <x v="14"/>
    </i>
    <i r="1">
      <x/>
    </i>
    <i r="1">
      <x v="1"/>
    </i>
    <i r="1">
      <x v="3"/>
    </i>
    <i>
      <x v="15"/>
    </i>
    <i r="1">
      <x/>
    </i>
    <i r="1">
      <x v="3"/>
    </i>
    <i r="1">
      <x v="4"/>
    </i>
    <i t="grand">
      <x/>
    </i>
  </rowItems>
  <colItems count="1">
    <i/>
  </colItems>
  <dataFields count="1">
    <dataField name="Sum of Sales" fld="5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E894B-CA92-4600-9AC1-56B626A8048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2">
  <location ref="A38:B44" firstHeaderRow="1" firstDataRow="1" firstDataCol="1"/>
  <pivotFields count="8">
    <pivotField axis="axisRow" showAll="0">
      <items count="5">
        <item x="1"/>
        <item x="0"/>
        <item x="3"/>
        <item x="2"/>
        <item t="default"/>
      </items>
    </pivotField>
    <pivotField showAll="0">
      <items count="17">
        <item x="15"/>
        <item x="4"/>
        <item x="9"/>
        <item x="10"/>
        <item x="6"/>
        <item x="0"/>
        <item x="1"/>
        <item x="7"/>
        <item x="3"/>
        <item x="2"/>
        <item x="12"/>
        <item x="11"/>
        <item x="8"/>
        <item x="5"/>
        <item x="13"/>
        <item x="14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7"/>
    <field x="2"/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5" baseField="0" baseItem="0"/>
  </dataFields>
  <chartFormats count="3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62089-DF49-4933-A1E9-A2549FAAAF2D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4">
  <location ref="A18:C35" firstHeaderRow="0" firstDataRow="1" firstDataCol="1"/>
  <pivotFields count="8">
    <pivotField showAll="0">
      <items count="5">
        <item x="1"/>
        <item x="0"/>
        <item x="3"/>
        <item x="2"/>
        <item t="default"/>
      </items>
    </pivotField>
    <pivotField axis="axisRow" showAll="0">
      <items count="17">
        <item x="15"/>
        <item x="4"/>
        <item x="9"/>
        <item x="10"/>
        <item x="6"/>
        <item x="0"/>
        <item x="1"/>
        <item x="7"/>
        <item x="3"/>
        <item x="2"/>
        <item x="12"/>
        <item x="11"/>
        <item x="8"/>
        <item x="5"/>
        <item x="13"/>
        <item x="14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" fld="3" baseField="0" baseItem="0"/>
    <dataField name="Sum of Sales" fld="5" baseField="0" baseItem="0"/>
  </dataFields>
  <chartFormats count="70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23" format="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3" format="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3" format="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3" format="7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3" format="7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3" format="7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3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3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3" format="7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3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3" format="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3" format="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3" format="8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3" format="8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3" format="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3" format="8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3" format="8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8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3" format="8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3" format="8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23" format="89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23" format="90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23" format="9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23" format="92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23" format="93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23" format="94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23" format="95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23" format="96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23" format="97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23" format="98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23" format="99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23" format="100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23" format="101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E6F3DD-F7E2-4B11-B5BF-90C32B04AF11}" name="Table6" displayName="Table6" ref="A1:I90" totalsRowShown="0" headerRowDxfId="23" headerRowBorderDxfId="22" tableBorderDxfId="21" headerRowCellStyle="Total">
  <autoFilter ref="A1:I90" xr:uid="{5AE6F3DD-F7E2-4B11-B5BF-90C32B04AF11}"/>
  <tableColumns count="9">
    <tableColumn id="1" xr3:uid="{98EED34F-FBC5-4981-A97D-5832DA5B4823}" name="Department" dataDxfId="20" dataCellStyle="Total"/>
    <tableColumn id="2" xr3:uid="{15021351-E35E-48D7-9AE5-37142814CC12}" name="Product" dataDxfId="19" dataCellStyle="Total"/>
    <tableColumn id="3" xr3:uid="{5F646FA9-6CFE-476B-AE08-4A76AF08D752}" name="Date" dataDxfId="18" dataCellStyle="Total"/>
    <tableColumn id="4" xr3:uid="{A607C285-CF8C-480A-BEC2-BDF6342C7080}" name="Price" dataDxfId="17" dataCellStyle="Total"/>
    <tableColumn id="5" xr3:uid="{A2362053-81B7-4743-A6A8-4E91061F480A}" name="Quantity" dataDxfId="16" dataCellStyle="Total"/>
    <tableColumn id="6" xr3:uid="{C3E89077-C858-475C-B5FC-D4FA93E95EAD}" name="Sales" dataDxfId="15" dataCellStyle="Total"/>
    <tableColumn id="7" xr3:uid="{3D5E9FC7-3F40-46AF-BE0A-AD71FF9CEAA8}" name="Profit" dataDxfId="14" dataCellStyle="Total"/>
    <tableColumn id="8" xr3:uid="{762ADCA5-3BE8-4E48-8A06-C2AEFFB46FA6}" name="Cost" dataDxfId="13" dataCellStyle="60% - Accent6"/>
    <tableColumn id="9" xr3:uid="{36818BFE-B51B-475D-A23E-C8ABC07BEC77}" name="Location" dataDxfId="12" dataCellStyle="Total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88EB92-7A37-432C-9EF6-F20F5482AC53}" name="Table5" displayName="Table5" ref="K5:Q71" totalsRowShown="0" headerRowDxfId="8" headerRowCellStyle="Accent5" dataCellStyle="60% - Accent5">
  <autoFilter ref="K5:Q71" xr:uid="{3288EB92-7A37-432C-9EF6-F20F5482AC53}"/>
  <tableColumns count="7">
    <tableColumn id="1" xr3:uid="{2D962C6A-C9A9-4282-A11D-8927AF255F79}" name="Departmentt" dataDxfId="7" dataCellStyle="60% - Accent5"/>
    <tableColumn id="2" xr3:uid="{FB950C68-E0A1-40A2-A50B-E8CC93E95401}" name="Product" dataDxfId="6" dataCellStyle="60% - Accent5"/>
    <tableColumn id="3" xr3:uid="{60854D1E-B2EE-48B4-AF6F-174D03821916}" name="Date" dataDxfId="5" dataCellStyle="60% - Accent5"/>
    <tableColumn id="4" xr3:uid="{61AC8CFB-7EC6-4ECB-8B8B-D0DC9FE5D9D4}" name="Price" dataCellStyle="60% - Accent5"/>
    <tableColumn id="5" xr3:uid="{6643F7F3-A4A8-4796-8BE0-C33172D52BEC}" name="Quantity" dataCellStyle="60% - Accent5"/>
    <tableColumn id="6" xr3:uid="{5CB711AE-0C00-4B69-ACC6-E5C955D43661}" name="Sales" dataCellStyle="60% - Accent5"/>
    <tableColumn id="7" xr3:uid="{43DF014E-105E-4AAC-B118-26D39D478822}" name="Profit" dataCellStyle="60% - Accent5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E6A7A3-2C38-418A-93FF-A7411029BB99}" name="Table7" displayName="Table7" ref="V5:X93" totalsRowShown="0" headerRowDxfId="4" dataDxfId="3">
  <autoFilter ref="V5:X93" xr:uid="{2AE6A7A3-2C38-418A-93FF-A7411029BB99}"/>
  <tableColumns count="3">
    <tableColumn id="1" xr3:uid="{F183E442-10D1-4FED-B267-D184F1E3CCD0}" name="UPPER" dataDxfId="2">
      <calculatedColumnFormula>UPPER(T6)</calculatedColumnFormula>
    </tableColumn>
    <tableColumn id="2" xr3:uid="{58325B76-1933-4B44-BEF5-0A017419F050}" name="LOWER" dataDxfId="1">
      <calculatedColumnFormula>LOWER(T6)</calculatedColumnFormula>
    </tableColumn>
    <tableColumn id="3" xr3:uid="{B3578312-EFC2-4580-9A57-CEDE56654205}" name="PROPER" dataDxfId="0">
      <calculatedColumnFormula>PROPER(T6)</calculatedColumnFormula>
    </tableColumn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E5F290-14AD-47C9-8AC4-2B4F06935B59}" name="Table9" displayName="Table9" ref="AA4:AB83" totalsRowShown="0">
  <autoFilter ref="AA4:AB83" xr:uid="{70E5F290-14AD-47C9-8AC4-2B4F06935B59}"/>
  <tableColumns count="2">
    <tableColumn id="1" xr3:uid="{DC02FD9A-2C18-41D6-BFAD-3EBE9BA4C79E}" name="Column1"/>
    <tableColumn id="2" xr3:uid="{0664B032-744B-4225-83BA-31163C68DBEA}" name="Column2">
      <calculatedColumnFormula>TRIM(AA5)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F2AA-EBFD-4A40-9B89-BD7DCD91E05A}">
  <dimension ref="A1:M91"/>
  <sheetViews>
    <sheetView tabSelected="1" topLeftCell="A77" zoomScale="96" workbookViewId="0">
      <selection activeCell="H1" sqref="H1:I90"/>
    </sheetView>
  </sheetViews>
  <sheetFormatPr defaultRowHeight="14.25" x14ac:dyDescent="0.2"/>
  <cols>
    <col min="1" max="1" width="15.75" customWidth="1"/>
    <col min="2" max="2" width="16.875" customWidth="1"/>
    <col min="3" max="3" width="12.75" customWidth="1"/>
    <col min="4" max="4" width="13.875" customWidth="1"/>
    <col min="5" max="5" width="12.875" customWidth="1"/>
    <col min="6" max="6" width="9.75" customWidth="1"/>
    <col min="7" max="7" width="9.375" customWidth="1"/>
    <col min="8" max="8" width="14.25" customWidth="1"/>
    <col min="9" max="9" width="16.375" customWidth="1"/>
    <col min="13" max="13" width="10.875" customWidth="1"/>
    <col min="15" max="15" width="9.625" customWidth="1"/>
  </cols>
  <sheetData>
    <row r="1" spans="1:13" ht="18.75" thickBot="1" x14ac:dyDescent="0.25">
      <c r="A1" s="82" t="s">
        <v>136</v>
      </c>
      <c r="B1" s="82" t="s">
        <v>0</v>
      </c>
      <c r="C1" s="82" t="s">
        <v>1</v>
      </c>
      <c r="D1" s="82" t="s">
        <v>2</v>
      </c>
      <c r="E1" s="82" t="s">
        <v>3</v>
      </c>
      <c r="F1" s="82" t="s">
        <v>4</v>
      </c>
      <c r="G1" s="82" t="s">
        <v>5</v>
      </c>
      <c r="H1" s="83" t="s">
        <v>134</v>
      </c>
      <c r="I1" s="82" t="s">
        <v>37</v>
      </c>
      <c r="J1" s="7"/>
    </row>
    <row r="2" spans="1:13" ht="21.75" thickTop="1" thickBot="1" x14ac:dyDescent="0.25">
      <c r="A2" s="12" t="s">
        <v>6</v>
      </c>
      <c r="B2" s="12" t="s">
        <v>7</v>
      </c>
      <c r="C2" s="13">
        <v>45662</v>
      </c>
      <c r="D2" s="14">
        <v>55000</v>
      </c>
      <c r="E2" s="14">
        <v>2</v>
      </c>
      <c r="F2" s="12">
        <v>110000</v>
      </c>
      <c r="G2" s="12">
        <v>22000</v>
      </c>
      <c r="H2" s="84">
        <v>88000</v>
      </c>
      <c r="I2" s="15" t="s">
        <v>38</v>
      </c>
      <c r="J2" s="8"/>
    </row>
    <row r="3" spans="1:13" ht="21.75" thickTop="1" thickBot="1" x14ac:dyDescent="0.25">
      <c r="A3" s="12" t="s">
        <v>6</v>
      </c>
      <c r="B3" s="12" t="s">
        <v>8</v>
      </c>
      <c r="C3" s="13">
        <v>45665</v>
      </c>
      <c r="D3" s="14">
        <v>20000</v>
      </c>
      <c r="E3" s="14">
        <v>3</v>
      </c>
      <c r="F3" s="12">
        <v>60000</v>
      </c>
      <c r="G3" s="12">
        <v>12000</v>
      </c>
      <c r="H3" s="84">
        <v>48000</v>
      </c>
      <c r="I3" s="15" t="s">
        <v>39</v>
      </c>
      <c r="J3" s="8"/>
    </row>
    <row r="4" spans="1:13" ht="21.75" thickTop="1" thickBot="1" x14ac:dyDescent="0.25">
      <c r="A4" s="12" t="s">
        <v>9</v>
      </c>
      <c r="B4" s="12" t="s">
        <v>10</v>
      </c>
      <c r="C4" s="13">
        <v>45667</v>
      </c>
      <c r="D4" s="14">
        <v>1200</v>
      </c>
      <c r="E4" s="14">
        <v>5</v>
      </c>
      <c r="F4" s="12">
        <v>6000</v>
      </c>
      <c r="G4" s="12">
        <v>1200</v>
      </c>
      <c r="H4" s="84">
        <v>4800</v>
      </c>
      <c r="I4" s="15" t="s">
        <v>40</v>
      </c>
      <c r="J4" s="8"/>
    </row>
    <row r="5" spans="1:13" ht="21.75" thickTop="1" thickBot="1" x14ac:dyDescent="0.25">
      <c r="A5" s="12" t="s">
        <v>11</v>
      </c>
      <c r="B5" s="12" t="s">
        <v>12</v>
      </c>
      <c r="C5" s="13">
        <v>45669</v>
      </c>
      <c r="D5" s="14">
        <v>80</v>
      </c>
      <c r="E5" s="14">
        <v>50</v>
      </c>
      <c r="F5" s="12">
        <v>4000</v>
      </c>
      <c r="G5" s="12">
        <v>800</v>
      </c>
      <c r="H5" s="84">
        <v>3200</v>
      </c>
      <c r="I5" s="15" t="s">
        <v>41</v>
      </c>
      <c r="J5" s="8"/>
    </row>
    <row r="6" spans="1:13" ht="21.75" thickTop="1" thickBot="1" x14ac:dyDescent="0.25">
      <c r="A6" s="12" t="s">
        <v>13</v>
      </c>
      <c r="B6" s="12" t="s">
        <v>14</v>
      </c>
      <c r="C6" s="13">
        <v>45672</v>
      </c>
      <c r="D6" s="14">
        <v>2500</v>
      </c>
      <c r="E6" s="14">
        <v>4</v>
      </c>
      <c r="F6" s="12">
        <v>10000</v>
      </c>
      <c r="G6" s="12">
        <v>2000</v>
      </c>
      <c r="H6" s="84">
        <v>8000</v>
      </c>
      <c r="I6" s="15" t="s">
        <v>42</v>
      </c>
      <c r="J6" s="8"/>
    </row>
    <row r="7" spans="1:13" ht="21.75" thickTop="1" thickBot="1" x14ac:dyDescent="0.25">
      <c r="A7" s="12" t="s">
        <v>6</v>
      </c>
      <c r="B7" s="12" t="s">
        <v>15</v>
      </c>
      <c r="C7" s="13">
        <v>45675</v>
      </c>
      <c r="D7" s="14">
        <v>18000</v>
      </c>
      <c r="E7" s="14">
        <v>2</v>
      </c>
      <c r="F7" s="12">
        <v>36000</v>
      </c>
      <c r="G7" s="12">
        <v>7200</v>
      </c>
      <c r="H7" s="84">
        <v>28800</v>
      </c>
      <c r="I7" s="15" t="s">
        <v>38</v>
      </c>
      <c r="J7" s="9"/>
    </row>
    <row r="8" spans="1:13" ht="21.75" thickTop="1" thickBot="1" x14ac:dyDescent="0.25">
      <c r="A8" s="12" t="s">
        <v>9</v>
      </c>
      <c r="B8" s="12" t="s">
        <v>16</v>
      </c>
      <c r="C8" s="13">
        <v>45677</v>
      </c>
      <c r="D8" s="14">
        <v>2000</v>
      </c>
      <c r="E8" s="14">
        <v>3</v>
      </c>
      <c r="F8" s="12">
        <v>6000</v>
      </c>
      <c r="G8" s="12">
        <v>1200</v>
      </c>
      <c r="H8" s="84">
        <v>4800</v>
      </c>
      <c r="I8" s="15" t="s">
        <v>39</v>
      </c>
    </row>
    <row r="9" spans="1:13" ht="21.75" thickTop="1" thickBot="1" x14ac:dyDescent="0.25">
      <c r="A9" s="12" t="s">
        <v>11</v>
      </c>
      <c r="B9" s="12" t="s">
        <v>17</v>
      </c>
      <c r="C9" s="13">
        <v>45680</v>
      </c>
      <c r="D9" s="14">
        <v>150</v>
      </c>
      <c r="E9" s="14">
        <v>20</v>
      </c>
      <c r="F9" s="12">
        <v>3000</v>
      </c>
      <c r="G9" s="12">
        <v>600</v>
      </c>
      <c r="H9" s="84">
        <v>2400</v>
      </c>
      <c r="I9" s="15" t="s">
        <v>40</v>
      </c>
    </row>
    <row r="10" spans="1:13" ht="21.75" thickTop="1" thickBot="1" x14ac:dyDescent="0.25">
      <c r="A10" s="12" t="s">
        <v>13</v>
      </c>
      <c r="B10" s="12" t="s">
        <v>18</v>
      </c>
      <c r="C10" s="13">
        <v>45682</v>
      </c>
      <c r="D10" s="14">
        <v>6000</v>
      </c>
      <c r="E10" s="14">
        <v>2</v>
      </c>
      <c r="F10" s="12">
        <v>12000</v>
      </c>
      <c r="G10" s="12">
        <v>2400</v>
      </c>
      <c r="H10" s="84">
        <v>9600</v>
      </c>
      <c r="I10" s="15" t="s">
        <v>41</v>
      </c>
      <c r="M10" s="10"/>
    </row>
    <row r="11" spans="1:13" ht="21.75" thickTop="1" thickBot="1" x14ac:dyDescent="0.25">
      <c r="A11" s="12" t="s">
        <v>6</v>
      </c>
      <c r="B11" s="12" t="s">
        <v>19</v>
      </c>
      <c r="C11" s="13">
        <v>45685</v>
      </c>
      <c r="D11" s="14">
        <v>3000</v>
      </c>
      <c r="E11" s="14">
        <v>4</v>
      </c>
      <c r="F11" s="12">
        <v>12000</v>
      </c>
      <c r="G11" s="12">
        <v>2400</v>
      </c>
      <c r="H11" s="84">
        <v>9600</v>
      </c>
      <c r="I11" s="15" t="s">
        <v>42</v>
      </c>
    </row>
    <row r="12" spans="1:13" ht="21.75" thickTop="1" thickBot="1" x14ac:dyDescent="0.25">
      <c r="A12" s="12" t="s">
        <v>9</v>
      </c>
      <c r="B12" s="12" t="s">
        <v>20</v>
      </c>
      <c r="C12" s="13">
        <v>45690</v>
      </c>
      <c r="D12" s="14">
        <v>3500</v>
      </c>
      <c r="E12" s="14">
        <v>2</v>
      </c>
      <c r="F12" s="12">
        <v>7000</v>
      </c>
      <c r="G12" s="12">
        <v>1400</v>
      </c>
      <c r="H12" s="84">
        <v>5600</v>
      </c>
      <c r="I12" s="15" t="s">
        <v>38</v>
      </c>
    </row>
    <row r="13" spans="1:13" ht="21.75" thickTop="1" thickBot="1" x14ac:dyDescent="0.25">
      <c r="A13" s="12" t="s">
        <v>11</v>
      </c>
      <c r="B13" s="12" t="s">
        <v>21</v>
      </c>
      <c r="C13" s="13">
        <v>45693</v>
      </c>
      <c r="D13" s="14">
        <v>45</v>
      </c>
      <c r="E13" s="14">
        <v>60</v>
      </c>
      <c r="F13" s="12">
        <v>2700</v>
      </c>
      <c r="G13" s="12">
        <v>540</v>
      </c>
      <c r="H13" s="84">
        <v>2160</v>
      </c>
      <c r="I13" s="15" t="s">
        <v>39</v>
      </c>
    </row>
    <row r="14" spans="1:13" ht="21.75" thickTop="1" thickBot="1" x14ac:dyDescent="0.25">
      <c r="A14" s="12" t="s">
        <v>13</v>
      </c>
      <c r="B14" s="12" t="s">
        <v>22</v>
      </c>
      <c r="C14" s="13">
        <v>45696</v>
      </c>
      <c r="D14" s="14">
        <v>20000</v>
      </c>
      <c r="E14" s="14">
        <v>1</v>
      </c>
      <c r="F14" s="12">
        <v>20000</v>
      </c>
      <c r="G14" s="12">
        <v>4000</v>
      </c>
      <c r="H14" s="84">
        <v>16000</v>
      </c>
      <c r="I14" s="15" t="s">
        <v>40</v>
      </c>
    </row>
    <row r="15" spans="1:13" ht="21.75" thickTop="1" thickBot="1" x14ac:dyDescent="0.25">
      <c r="A15" s="12" t="s">
        <v>6</v>
      </c>
      <c r="B15" s="12" t="s">
        <v>7</v>
      </c>
      <c r="C15" s="13">
        <v>45700</v>
      </c>
      <c r="D15" s="14">
        <v>58000</v>
      </c>
      <c r="E15" s="14">
        <v>1</v>
      </c>
      <c r="F15" s="12">
        <v>58000</v>
      </c>
      <c r="G15" s="12">
        <v>11600</v>
      </c>
      <c r="H15" s="84">
        <v>46400</v>
      </c>
      <c r="I15" s="15" t="s">
        <v>41</v>
      </c>
    </row>
    <row r="16" spans="1:13" ht="21.75" thickTop="1" thickBot="1" x14ac:dyDescent="0.25">
      <c r="A16" s="12" t="s">
        <v>9</v>
      </c>
      <c r="B16" s="12" t="s">
        <v>23</v>
      </c>
      <c r="C16" s="13">
        <v>45703</v>
      </c>
      <c r="D16" s="14">
        <v>700</v>
      </c>
      <c r="E16" s="14">
        <v>6</v>
      </c>
      <c r="F16" s="12">
        <v>4200</v>
      </c>
      <c r="G16" s="12">
        <v>840</v>
      </c>
      <c r="H16" s="84">
        <v>3360</v>
      </c>
      <c r="I16" s="15" t="s">
        <v>42</v>
      </c>
    </row>
    <row r="17" spans="1:9" ht="37.5" thickTop="1" thickBot="1" x14ac:dyDescent="0.25">
      <c r="A17" s="12" t="s">
        <v>11</v>
      </c>
      <c r="B17" s="12" t="s">
        <v>24</v>
      </c>
      <c r="C17" s="13">
        <v>45706</v>
      </c>
      <c r="D17" s="14">
        <v>60</v>
      </c>
      <c r="E17" s="14">
        <v>40</v>
      </c>
      <c r="F17" s="12">
        <v>2400</v>
      </c>
      <c r="G17" s="12">
        <v>480</v>
      </c>
      <c r="H17" s="84">
        <v>1920</v>
      </c>
      <c r="I17" s="15" t="s">
        <v>38</v>
      </c>
    </row>
    <row r="18" spans="1:9" ht="21.75" thickTop="1" thickBot="1" x14ac:dyDescent="0.25">
      <c r="A18" s="12" t="s">
        <v>13</v>
      </c>
      <c r="B18" s="12" t="s">
        <v>25</v>
      </c>
      <c r="C18" s="13">
        <v>45709</v>
      </c>
      <c r="D18" s="14">
        <v>30000</v>
      </c>
      <c r="E18" s="14">
        <v>1</v>
      </c>
      <c r="F18" s="12">
        <v>30000</v>
      </c>
      <c r="G18" s="12">
        <v>6000</v>
      </c>
      <c r="H18" s="84">
        <v>24000</v>
      </c>
      <c r="I18" s="15" t="s">
        <v>39</v>
      </c>
    </row>
    <row r="19" spans="1:9" ht="21.75" thickTop="1" thickBot="1" x14ac:dyDescent="0.25">
      <c r="A19" s="12" t="s">
        <v>6</v>
      </c>
      <c r="B19" s="12" t="s">
        <v>8</v>
      </c>
      <c r="C19" s="13">
        <v>45713</v>
      </c>
      <c r="D19" s="14">
        <v>22000</v>
      </c>
      <c r="E19" s="14">
        <v>2</v>
      </c>
      <c r="F19" s="12">
        <v>44000</v>
      </c>
      <c r="G19" s="12">
        <v>8800</v>
      </c>
      <c r="H19" s="84">
        <v>35200</v>
      </c>
      <c r="I19" s="15" t="s">
        <v>40</v>
      </c>
    </row>
    <row r="20" spans="1:9" ht="21.75" thickTop="1" thickBot="1" x14ac:dyDescent="0.25">
      <c r="A20" s="12" t="s">
        <v>9</v>
      </c>
      <c r="B20" s="12" t="s">
        <v>10</v>
      </c>
      <c r="C20" s="13">
        <v>45716</v>
      </c>
      <c r="D20" s="14">
        <v>1300</v>
      </c>
      <c r="E20" s="14">
        <v>4</v>
      </c>
      <c r="F20" s="12">
        <v>5200</v>
      </c>
      <c r="G20" s="12">
        <v>1040</v>
      </c>
      <c r="H20" s="84">
        <v>4160</v>
      </c>
      <c r="I20" s="15" t="s">
        <v>41</v>
      </c>
    </row>
    <row r="21" spans="1:9" ht="21.75" thickTop="1" thickBot="1" x14ac:dyDescent="0.25">
      <c r="A21" s="12" t="s">
        <v>11</v>
      </c>
      <c r="B21" s="12" t="s">
        <v>12</v>
      </c>
      <c r="C21" s="13">
        <v>45719</v>
      </c>
      <c r="D21" s="14">
        <v>85</v>
      </c>
      <c r="E21" s="14">
        <v>45</v>
      </c>
      <c r="F21" s="12">
        <v>3825</v>
      </c>
      <c r="G21" s="12">
        <v>765</v>
      </c>
      <c r="H21" s="84">
        <v>3060</v>
      </c>
      <c r="I21" s="15" t="s">
        <v>42</v>
      </c>
    </row>
    <row r="22" spans="1:9" ht="37.5" thickTop="1" thickBot="1" x14ac:dyDescent="0.25">
      <c r="A22" s="12" t="s">
        <v>6</v>
      </c>
      <c r="B22" s="12" t="s">
        <v>7</v>
      </c>
      <c r="C22" s="13">
        <v>45721</v>
      </c>
      <c r="D22" s="14">
        <v>56000</v>
      </c>
      <c r="E22" s="14">
        <v>1</v>
      </c>
      <c r="F22" s="12">
        <v>56000</v>
      </c>
      <c r="G22" s="12">
        <v>11200</v>
      </c>
      <c r="H22" s="84">
        <v>44800</v>
      </c>
      <c r="I22" s="15" t="s">
        <v>38</v>
      </c>
    </row>
    <row r="23" spans="1:9" ht="21.75" thickTop="1" thickBot="1" x14ac:dyDescent="0.25">
      <c r="A23" s="12" t="s">
        <v>6</v>
      </c>
      <c r="B23" s="12" t="s">
        <v>8</v>
      </c>
      <c r="C23" s="13">
        <v>45722</v>
      </c>
      <c r="D23" s="14">
        <v>21000</v>
      </c>
      <c r="E23" s="14">
        <v>2</v>
      </c>
      <c r="F23" s="12">
        <v>42000</v>
      </c>
      <c r="G23" s="12">
        <v>8400</v>
      </c>
      <c r="H23" s="84">
        <v>33600</v>
      </c>
      <c r="I23" s="15" t="s">
        <v>39</v>
      </c>
    </row>
    <row r="24" spans="1:9" ht="21.75" thickTop="1" thickBot="1" x14ac:dyDescent="0.25">
      <c r="A24" s="12" t="s">
        <v>9</v>
      </c>
      <c r="B24" s="12" t="s">
        <v>10</v>
      </c>
      <c r="C24" s="13">
        <v>45723</v>
      </c>
      <c r="D24" s="14">
        <v>1300</v>
      </c>
      <c r="E24" s="14">
        <v>4</v>
      </c>
      <c r="F24" s="12">
        <v>5200</v>
      </c>
      <c r="G24" s="12">
        <v>1040</v>
      </c>
      <c r="H24" s="84">
        <v>4160</v>
      </c>
      <c r="I24" s="15" t="s">
        <v>40</v>
      </c>
    </row>
    <row r="25" spans="1:9" ht="21.75" thickTop="1" thickBot="1" x14ac:dyDescent="0.25">
      <c r="A25" s="12" t="s">
        <v>11</v>
      </c>
      <c r="B25" s="12" t="s">
        <v>12</v>
      </c>
      <c r="C25" s="13">
        <v>45724</v>
      </c>
      <c r="D25" s="14">
        <v>85</v>
      </c>
      <c r="E25" s="14">
        <v>40</v>
      </c>
      <c r="F25" s="12">
        <v>3400</v>
      </c>
      <c r="G25" s="12">
        <v>680</v>
      </c>
      <c r="H25" s="84">
        <v>2720</v>
      </c>
      <c r="I25" s="15" t="s">
        <v>41</v>
      </c>
    </row>
    <row r="26" spans="1:9" ht="21.75" thickTop="1" thickBot="1" x14ac:dyDescent="0.25">
      <c r="A26" s="12" t="s">
        <v>13</v>
      </c>
      <c r="B26" s="12" t="s">
        <v>14</v>
      </c>
      <c r="C26" s="13">
        <v>45725</v>
      </c>
      <c r="D26" s="14">
        <v>2600</v>
      </c>
      <c r="E26" s="14">
        <v>3</v>
      </c>
      <c r="F26" s="12">
        <v>7800</v>
      </c>
      <c r="G26" s="12">
        <v>1560</v>
      </c>
      <c r="H26" s="84">
        <v>6240</v>
      </c>
      <c r="I26" s="15" t="s">
        <v>42</v>
      </c>
    </row>
    <row r="27" spans="1:9" ht="37.5" thickTop="1" thickBot="1" x14ac:dyDescent="0.25">
      <c r="A27" s="12" t="s">
        <v>6</v>
      </c>
      <c r="B27" s="12" t="s">
        <v>15</v>
      </c>
      <c r="C27" s="13">
        <v>45726</v>
      </c>
      <c r="D27" s="14">
        <v>17000</v>
      </c>
      <c r="E27" s="14">
        <v>2</v>
      </c>
      <c r="F27" s="12">
        <v>34000</v>
      </c>
      <c r="G27" s="12">
        <v>6800</v>
      </c>
      <c r="H27" s="84">
        <v>27200</v>
      </c>
      <c r="I27" s="15" t="s">
        <v>38</v>
      </c>
    </row>
    <row r="28" spans="1:9" ht="21.75" thickTop="1" thickBot="1" x14ac:dyDescent="0.25">
      <c r="A28" s="12" t="s">
        <v>9</v>
      </c>
      <c r="B28" s="12" t="s">
        <v>16</v>
      </c>
      <c r="C28" s="13">
        <v>45727</v>
      </c>
      <c r="D28" s="14">
        <v>2100</v>
      </c>
      <c r="E28" s="14">
        <v>2</v>
      </c>
      <c r="F28" s="12">
        <v>4200</v>
      </c>
      <c r="G28" s="12">
        <v>840</v>
      </c>
      <c r="H28" s="84">
        <v>3360</v>
      </c>
      <c r="I28" s="15" t="s">
        <v>39</v>
      </c>
    </row>
    <row r="29" spans="1:9" ht="21.75" thickTop="1" thickBot="1" x14ac:dyDescent="0.25">
      <c r="A29" s="12" t="s">
        <v>11</v>
      </c>
      <c r="B29" s="12" t="s">
        <v>21</v>
      </c>
      <c r="C29" s="13">
        <v>45728</v>
      </c>
      <c r="D29" s="14">
        <v>50</v>
      </c>
      <c r="E29" s="14">
        <v>60</v>
      </c>
      <c r="F29" s="12">
        <v>3000</v>
      </c>
      <c r="G29" s="12">
        <v>600</v>
      </c>
      <c r="H29" s="84">
        <v>2400</v>
      </c>
      <c r="I29" s="15" t="s">
        <v>40</v>
      </c>
    </row>
    <row r="30" spans="1:9" ht="21.75" thickTop="1" thickBot="1" x14ac:dyDescent="0.25">
      <c r="A30" s="12" t="s">
        <v>13</v>
      </c>
      <c r="B30" s="12" t="s">
        <v>18</v>
      </c>
      <c r="C30" s="13">
        <v>45729</v>
      </c>
      <c r="D30" s="14">
        <v>6500</v>
      </c>
      <c r="E30" s="14">
        <v>1</v>
      </c>
      <c r="F30" s="12">
        <v>6500</v>
      </c>
      <c r="G30" s="12">
        <v>1300</v>
      </c>
      <c r="H30" s="84">
        <v>5200</v>
      </c>
      <c r="I30" s="15" t="s">
        <v>41</v>
      </c>
    </row>
    <row r="31" spans="1:9" ht="21.75" thickTop="1" thickBot="1" x14ac:dyDescent="0.25">
      <c r="A31" s="12" t="s">
        <v>6</v>
      </c>
      <c r="B31" s="12" t="s">
        <v>19</v>
      </c>
      <c r="C31" s="13">
        <v>45730</v>
      </c>
      <c r="D31" s="14">
        <v>3200</v>
      </c>
      <c r="E31" s="14">
        <v>3</v>
      </c>
      <c r="F31" s="12">
        <v>9600</v>
      </c>
      <c r="G31" s="12">
        <v>1920</v>
      </c>
      <c r="H31" s="84">
        <v>7680</v>
      </c>
      <c r="I31" s="15" t="s">
        <v>42</v>
      </c>
    </row>
    <row r="32" spans="1:9" ht="37.5" thickTop="1" thickBot="1" x14ac:dyDescent="0.25">
      <c r="A32" s="12" t="s">
        <v>9</v>
      </c>
      <c r="B32" s="12" t="s">
        <v>20</v>
      </c>
      <c r="C32" s="13">
        <v>45731</v>
      </c>
      <c r="D32" s="14">
        <v>3600</v>
      </c>
      <c r="E32" s="14">
        <v>2</v>
      </c>
      <c r="F32" s="12">
        <v>7200</v>
      </c>
      <c r="G32" s="12">
        <v>1440</v>
      </c>
      <c r="H32" s="84">
        <v>5760</v>
      </c>
      <c r="I32" s="15" t="s">
        <v>38</v>
      </c>
    </row>
    <row r="33" spans="1:9" ht="21.75" thickTop="1" thickBot="1" x14ac:dyDescent="0.25">
      <c r="A33" s="12" t="s">
        <v>11</v>
      </c>
      <c r="B33" s="12" t="s">
        <v>17</v>
      </c>
      <c r="C33" s="13">
        <v>45732</v>
      </c>
      <c r="D33" s="14">
        <v>155</v>
      </c>
      <c r="E33" s="14">
        <v>20</v>
      </c>
      <c r="F33" s="12">
        <v>3100</v>
      </c>
      <c r="G33" s="12">
        <v>620</v>
      </c>
      <c r="H33" s="84">
        <v>2480</v>
      </c>
      <c r="I33" s="15" t="s">
        <v>39</v>
      </c>
    </row>
    <row r="34" spans="1:9" ht="21.75" thickTop="1" thickBot="1" x14ac:dyDescent="0.25">
      <c r="A34" s="12" t="s">
        <v>13</v>
      </c>
      <c r="B34" s="12" t="s">
        <v>22</v>
      </c>
      <c r="C34" s="13">
        <v>45733</v>
      </c>
      <c r="D34" s="14">
        <v>21000</v>
      </c>
      <c r="E34" s="14">
        <v>1</v>
      </c>
      <c r="F34" s="12">
        <v>21000</v>
      </c>
      <c r="G34" s="12">
        <v>4200</v>
      </c>
      <c r="H34" s="84">
        <v>16800</v>
      </c>
      <c r="I34" s="15" t="s">
        <v>40</v>
      </c>
    </row>
    <row r="35" spans="1:9" ht="21.75" thickTop="1" thickBot="1" x14ac:dyDescent="0.25">
      <c r="A35" s="12" t="s">
        <v>6</v>
      </c>
      <c r="B35" s="12" t="s">
        <v>7</v>
      </c>
      <c r="C35" s="13">
        <v>45734</v>
      </c>
      <c r="D35" s="14">
        <v>57000</v>
      </c>
      <c r="E35" s="14">
        <v>1</v>
      </c>
      <c r="F35" s="12">
        <v>57000</v>
      </c>
      <c r="G35" s="12">
        <v>11400</v>
      </c>
      <c r="H35" s="84">
        <v>45600</v>
      </c>
      <c r="I35" s="15" t="s">
        <v>41</v>
      </c>
    </row>
    <row r="36" spans="1:9" ht="21.75" thickTop="1" thickBot="1" x14ac:dyDescent="0.25">
      <c r="A36" s="12" t="s">
        <v>9</v>
      </c>
      <c r="B36" s="12" t="s">
        <v>23</v>
      </c>
      <c r="C36" s="13">
        <v>45735</v>
      </c>
      <c r="D36" s="14">
        <v>750</v>
      </c>
      <c r="E36" s="14">
        <v>5</v>
      </c>
      <c r="F36" s="12">
        <v>3750</v>
      </c>
      <c r="G36" s="12">
        <v>750</v>
      </c>
      <c r="H36" s="84">
        <v>3000</v>
      </c>
      <c r="I36" s="15" t="s">
        <v>42</v>
      </c>
    </row>
    <row r="37" spans="1:9" ht="21.75" thickTop="1" thickBot="1" x14ac:dyDescent="0.25">
      <c r="A37" s="12" t="s">
        <v>11</v>
      </c>
      <c r="B37" s="12" t="s">
        <v>24</v>
      </c>
      <c r="C37" s="13">
        <v>45736</v>
      </c>
      <c r="D37" s="14">
        <v>65</v>
      </c>
      <c r="E37" s="14">
        <v>40</v>
      </c>
      <c r="F37" s="12">
        <v>2600</v>
      </c>
      <c r="G37" s="12">
        <v>520</v>
      </c>
      <c r="H37" s="84">
        <v>2080</v>
      </c>
      <c r="I37" s="15" t="s">
        <v>38</v>
      </c>
    </row>
    <row r="38" spans="1:9" ht="21.75" thickTop="1" thickBot="1" x14ac:dyDescent="0.25">
      <c r="A38" s="12" t="s">
        <v>13</v>
      </c>
      <c r="B38" s="12" t="s">
        <v>25</v>
      </c>
      <c r="C38" s="13">
        <v>45737</v>
      </c>
      <c r="D38" s="14">
        <v>32000</v>
      </c>
      <c r="E38" s="14">
        <v>1</v>
      </c>
      <c r="F38" s="12">
        <v>32000</v>
      </c>
      <c r="G38" s="12">
        <v>6400</v>
      </c>
      <c r="H38" s="84">
        <v>25600</v>
      </c>
      <c r="I38" s="15" t="s">
        <v>39</v>
      </c>
    </row>
    <row r="39" spans="1:9" ht="21.75" thickTop="1" thickBot="1" x14ac:dyDescent="0.25">
      <c r="A39" s="12" t="s">
        <v>6</v>
      </c>
      <c r="B39" s="12" t="s">
        <v>8</v>
      </c>
      <c r="C39" s="13">
        <v>45738</v>
      </c>
      <c r="D39" s="14">
        <v>23000</v>
      </c>
      <c r="E39" s="14">
        <v>2</v>
      </c>
      <c r="F39" s="12">
        <v>46000</v>
      </c>
      <c r="G39" s="12">
        <v>9200</v>
      </c>
      <c r="H39" s="84">
        <v>36800</v>
      </c>
      <c r="I39" s="15" t="s">
        <v>40</v>
      </c>
    </row>
    <row r="40" spans="1:9" ht="21.75" thickTop="1" thickBot="1" x14ac:dyDescent="0.25">
      <c r="A40" s="12" t="s">
        <v>9</v>
      </c>
      <c r="B40" s="12" t="s">
        <v>10</v>
      </c>
      <c r="C40" s="13">
        <v>45739</v>
      </c>
      <c r="D40" s="14">
        <v>1400</v>
      </c>
      <c r="E40" s="14">
        <v>3</v>
      </c>
      <c r="F40" s="12">
        <v>4200</v>
      </c>
      <c r="G40" s="12">
        <v>840</v>
      </c>
      <c r="H40" s="84">
        <v>3360</v>
      </c>
      <c r="I40" s="15" t="s">
        <v>41</v>
      </c>
    </row>
    <row r="41" spans="1:9" ht="21.75" thickTop="1" thickBot="1" x14ac:dyDescent="0.25">
      <c r="A41" s="12" t="s">
        <v>11</v>
      </c>
      <c r="B41" s="12" t="s">
        <v>12</v>
      </c>
      <c r="C41" s="13">
        <v>45740</v>
      </c>
      <c r="D41" s="14">
        <v>90</v>
      </c>
      <c r="E41" s="14">
        <v>30</v>
      </c>
      <c r="F41" s="12">
        <v>2700</v>
      </c>
      <c r="G41" s="12">
        <v>540</v>
      </c>
      <c r="H41" s="84">
        <v>2160</v>
      </c>
      <c r="I41" s="15" t="s">
        <v>42</v>
      </c>
    </row>
    <row r="42" spans="1:9" ht="21.75" thickTop="1" thickBot="1" x14ac:dyDescent="0.25">
      <c r="A42" s="12" t="s">
        <v>6</v>
      </c>
      <c r="B42" s="12" t="s">
        <v>7</v>
      </c>
      <c r="C42" s="13">
        <v>45741</v>
      </c>
      <c r="D42" s="14">
        <v>55000</v>
      </c>
      <c r="E42" s="14">
        <v>2</v>
      </c>
      <c r="F42" s="12">
        <v>110000</v>
      </c>
      <c r="G42" s="12">
        <v>22000</v>
      </c>
      <c r="H42" s="84">
        <v>88000</v>
      </c>
      <c r="I42" s="15" t="s">
        <v>38</v>
      </c>
    </row>
    <row r="43" spans="1:9" ht="21.75" thickTop="1" thickBot="1" x14ac:dyDescent="0.25">
      <c r="A43" s="12" t="s">
        <v>6</v>
      </c>
      <c r="B43" s="12" t="s">
        <v>15</v>
      </c>
      <c r="C43" s="13">
        <v>45742</v>
      </c>
      <c r="D43" s="14">
        <v>16000</v>
      </c>
      <c r="E43" s="14">
        <v>2</v>
      </c>
      <c r="F43" s="12">
        <v>32000</v>
      </c>
      <c r="G43" s="12">
        <v>6400</v>
      </c>
      <c r="H43" s="84">
        <v>25600</v>
      </c>
      <c r="I43" s="15" t="s">
        <v>39</v>
      </c>
    </row>
    <row r="44" spans="1:9" ht="21.75" thickTop="1" thickBot="1" x14ac:dyDescent="0.25">
      <c r="A44" s="12" t="s">
        <v>9</v>
      </c>
      <c r="B44" s="12" t="s">
        <v>16</v>
      </c>
      <c r="C44" s="13">
        <v>45743</v>
      </c>
      <c r="D44" s="14">
        <v>2000</v>
      </c>
      <c r="E44" s="14">
        <v>3</v>
      </c>
      <c r="F44" s="12">
        <v>6000</v>
      </c>
      <c r="G44" s="12">
        <v>1200</v>
      </c>
      <c r="H44" s="84">
        <v>4800</v>
      </c>
      <c r="I44" s="15" t="s">
        <v>40</v>
      </c>
    </row>
    <row r="45" spans="1:9" ht="21.75" thickTop="1" thickBot="1" x14ac:dyDescent="0.25">
      <c r="A45" s="12" t="s">
        <v>11</v>
      </c>
      <c r="B45" s="12" t="s">
        <v>17</v>
      </c>
      <c r="C45" s="13">
        <v>45744</v>
      </c>
      <c r="D45" s="14">
        <v>150</v>
      </c>
      <c r="E45" s="14">
        <v>25</v>
      </c>
      <c r="F45" s="12">
        <v>3750</v>
      </c>
      <c r="G45" s="12">
        <v>750</v>
      </c>
      <c r="H45" s="84">
        <v>3000</v>
      </c>
      <c r="I45" s="15" t="s">
        <v>41</v>
      </c>
    </row>
    <row r="46" spans="1:9" ht="21.75" thickTop="1" thickBot="1" x14ac:dyDescent="0.25">
      <c r="A46" s="12" t="s">
        <v>13</v>
      </c>
      <c r="B46" s="12" t="s">
        <v>14</v>
      </c>
      <c r="C46" s="13">
        <v>45745</v>
      </c>
      <c r="D46" s="14">
        <v>2400</v>
      </c>
      <c r="E46" s="14">
        <v>4</v>
      </c>
      <c r="F46" s="12">
        <v>9600</v>
      </c>
      <c r="G46" s="12">
        <v>1920</v>
      </c>
      <c r="H46" s="84">
        <v>7680</v>
      </c>
      <c r="I46" s="15" t="s">
        <v>42</v>
      </c>
    </row>
    <row r="47" spans="1:9" ht="21.75" thickTop="1" thickBot="1" x14ac:dyDescent="0.25">
      <c r="A47" s="12" t="s">
        <v>6</v>
      </c>
      <c r="B47" s="12" t="s">
        <v>19</v>
      </c>
      <c r="C47" s="13">
        <v>45746</v>
      </c>
      <c r="D47" s="14">
        <v>3000</v>
      </c>
      <c r="E47" s="14">
        <v>3</v>
      </c>
      <c r="F47" s="12">
        <v>9000</v>
      </c>
      <c r="G47" s="12">
        <v>1800</v>
      </c>
      <c r="H47" s="84">
        <v>7200</v>
      </c>
      <c r="I47" s="15" t="s">
        <v>38</v>
      </c>
    </row>
    <row r="48" spans="1:9" ht="21.75" thickTop="1" thickBot="1" x14ac:dyDescent="0.25">
      <c r="A48" s="12" t="s">
        <v>9</v>
      </c>
      <c r="B48" s="12" t="s">
        <v>20</v>
      </c>
      <c r="C48" s="13">
        <v>45747</v>
      </c>
      <c r="D48" s="14">
        <v>3400</v>
      </c>
      <c r="E48" s="14">
        <v>2</v>
      </c>
      <c r="F48" s="12">
        <v>6800</v>
      </c>
      <c r="G48" s="12">
        <v>1360</v>
      </c>
      <c r="H48" s="84">
        <v>5440</v>
      </c>
      <c r="I48" s="15" t="s">
        <v>39</v>
      </c>
    </row>
    <row r="49" spans="1:9" ht="21.75" thickTop="1" thickBot="1" x14ac:dyDescent="0.25">
      <c r="A49" s="12" t="s">
        <v>11</v>
      </c>
      <c r="B49" s="12" t="s">
        <v>21</v>
      </c>
      <c r="C49" s="13">
        <v>45748</v>
      </c>
      <c r="D49" s="14">
        <v>45</v>
      </c>
      <c r="E49" s="14">
        <v>50</v>
      </c>
      <c r="F49" s="12">
        <v>2250</v>
      </c>
      <c r="G49" s="12">
        <v>450</v>
      </c>
      <c r="H49" s="84">
        <v>1800</v>
      </c>
      <c r="I49" s="15" t="s">
        <v>40</v>
      </c>
    </row>
    <row r="50" spans="1:9" ht="21.75" thickTop="1" thickBot="1" x14ac:dyDescent="0.25">
      <c r="A50" s="12" t="s">
        <v>13</v>
      </c>
      <c r="B50" s="12" t="s">
        <v>18</v>
      </c>
      <c r="C50" s="13">
        <v>45749</v>
      </c>
      <c r="D50" s="14">
        <v>6000</v>
      </c>
      <c r="E50" s="14">
        <v>2</v>
      </c>
      <c r="F50" s="12">
        <v>12000</v>
      </c>
      <c r="G50" s="12">
        <v>2400</v>
      </c>
      <c r="H50" s="84">
        <v>9600</v>
      </c>
      <c r="I50" s="15" t="s">
        <v>41</v>
      </c>
    </row>
    <row r="51" spans="1:9" ht="21.75" thickTop="1" thickBot="1" x14ac:dyDescent="0.25">
      <c r="A51" s="12" t="s">
        <v>6</v>
      </c>
      <c r="B51" s="12" t="s">
        <v>8</v>
      </c>
      <c r="C51" s="13">
        <v>45750</v>
      </c>
      <c r="D51" s="14">
        <v>22000</v>
      </c>
      <c r="E51" s="14">
        <v>1</v>
      </c>
      <c r="F51" s="12">
        <v>22000</v>
      </c>
      <c r="G51" s="12">
        <v>4400</v>
      </c>
      <c r="H51" s="84">
        <v>17600</v>
      </c>
      <c r="I51" s="15" t="s">
        <v>42</v>
      </c>
    </row>
    <row r="52" spans="1:9" ht="21.75" thickTop="1" thickBot="1" x14ac:dyDescent="0.25">
      <c r="A52" s="12" t="s">
        <v>9</v>
      </c>
      <c r="B52" s="12" t="s">
        <v>10</v>
      </c>
      <c r="C52" s="13">
        <v>45751</v>
      </c>
      <c r="D52" s="14">
        <v>1200</v>
      </c>
      <c r="E52" s="14">
        <v>4</v>
      </c>
      <c r="F52" s="12">
        <v>4800</v>
      </c>
      <c r="G52" s="12">
        <v>960</v>
      </c>
      <c r="H52" s="84">
        <v>3840</v>
      </c>
      <c r="I52" s="15" t="s">
        <v>38</v>
      </c>
    </row>
    <row r="53" spans="1:9" ht="21.75" thickTop="1" thickBot="1" x14ac:dyDescent="0.25">
      <c r="A53" s="12" t="s">
        <v>11</v>
      </c>
      <c r="B53" s="12" t="s">
        <v>12</v>
      </c>
      <c r="C53" s="13">
        <v>45752</v>
      </c>
      <c r="D53" s="14">
        <v>80</v>
      </c>
      <c r="E53" s="14">
        <v>45</v>
      </c>
      <c r="F53" s="12">
        <v>3600</v>
      </c>
      <c r="G53" s="12">
        <v>720</v>
      </c>
      <c r="H53" s="84">
        <v>2880</v>
      </c>
      <c r="I53" s="15" t="s">
        <v>39</v>
      </c>
    </row>
    <row r="54" spans="1:9" ht="21.75" thickTop="1" thickBot="1" x14ac:dyDescent="0.25">
      <c r="A54" s="12" t="s">
        <v>13</v>
      </c>
      <c r="B54" s="12" t="s">
        <v>22</v>
      </c>
      <c r="C54" s="13">
        <v>45753</v>
      </c>
      <c r="D54" s="14">
        <v>20000</v>
      </c>
      <c r="E54" s="14">
        <v>1</v>
      </c>
      <c r="F54" s="12">
        <v>20000</v>
      </c>
      <c r="G54" s="12">
        <v>4000</v>
      </c>
      <c r="H54" s="84">
        <v>16000</v>
      </c>
      <c r="I54" s="15" t="s">
        <v>40</v>
      </c>
    </row>
    <row r="55" spans="1:9" ht="21.75" thickTop="1" thickBot="1" x14ac:dyDescent="0.25">
      <c r="A55" s="12" t="s">
        <v>6</v>
      </c>
      <c r="B55" s="12" t="s">
        <v>7</v>
      </c>
      <c r="C55" s="13">
        <v>45754</v>
      </c>
      <c r="D55" s="14">
        <v>59000</v>
      </c>
      <c r="E55" s="14">
        <v>1</v>
      </c>
      <c r="F55" s="12">
        <v>59000</v>
      </c>
      <c r="G55" s="12">
        <v>11800</v>
      </c>
      <c r="H55" s="84">
        <v>47200</v>
      </c>
      <c r="I55" s="15" t="s">
        <v>41</v>
      </c>
    </row>
    <row r="56" spans="1:9" ht="21.75" thickTop="1" thickBot="1" x14ac:dyDescent="0.25">
      <c r="A56" s="12" t="s">
        <v>9</v>
      </c>
      <c r="B56" s="12" t="s">
        <v>23</v>
      </c>
      <c r="C56" s="13">
        <v>45755</v>
      </c>
      <c r="D56" s="14">
        <v>800</v>
      </c>
      <c r="E56" s="14">
        <v>5</v>
      </c>
      <c r="F56" s="12">
        <v>4000</v>
      </c>
      <c r="G56" s="12">
        <v>800</v>
      </c>
      <c r="H56" s="84">
        <v>3200</v>
      </c>
      <c r="I56" s="15" t="s">
        <v>42</v>
      </c>
    </row>
    <row r="57" spans="1:9" ht="21.75" thickTop="1" thickBot="1" x14ac:dyDescent="0.25">
      <c r="A57" s="12" t="s">
        <v>11</v>
      </c>
      <c r="B57" s="12" t="s">
        <v>24</v>
      </c>
      <c r="C57" s="13">
        <v>45756</v>
      </c>
      <c r="D57" s="14">
        <v>60</v>
      </c>
      <c r="E57" s="14">
        <v>50</v>
      </c>
      <c r="F57" s="12">
        <v>3000</v>
      </c>
      <c r="G57" s="12">
        <v>600</v>
      </c>
      <c r="H57" s="84">
        <v>2400</v>
      </c>
      <c r="I57" s="15" t="s">
        <v>38</v>
      </c>
    </row>
    <row r="58" spans="1:9" ht="21.75" thickTop="1" thickBot="1" x14ac:dyDescent="0.25">
      <c r="A58" s="12" t="s">
        <v>13</v>
      </c>
      <c r="B58" s="12" t="s">
        <v>25</v>
      </c>
      <c r="C58" s="13">
        <v>45757</v>
      </c>
      <c r="D58" s="14">
        <v>31000</v>
      </c>
      <c r="E58" s="14">
        <v>1</v>
      </c>
      <c r="F58" s="12">
        <v>31000</v>
      </c>
      <c r="G58" s="12">
        <v>6200</v>
      </c>
      <c r="H58" s="84">
        <v>24800</v>
      </c>
      <c r="I58" s="15" t="s">
        <v>39</v>
      </c>
    </row>
    <row r="59" spans="1:9" ht="21.75" thickTop="1" thickBot="1" x14ac:dyDescent="0.25">
      <c r="A59" s="12" t="s">
        <v>6</v>
      </c>
      <c r="B59" s="12" t="s">
        <v>8</v>
      </c>
      <c r="C59" s="13">
        <v>45758</v>
      </c>
      <c r="D59" s="14">
        <v>24000</v>
      </c>
      <c r="E59" s="14">
        <v>2</v>
      </c>
      <c r="F59" s="12">
        <v>48000</v>
      </c>
      <c r="G59" s="12">
        <v>9600</v>
      </c>
      <c r="H59" s="84">
        <v>38400</v>
      </c>
      <c r="I59" s="15" t="s">
        <v>40</v>
      </c>
    </row>
    <row r="60" spans="1:9" ht="21.75" thickTop="1" thickBot="1" x14ac:dyDescent="0.25">
      <c r="A60" s="12" t="s">
        <v>9</v>
      </c>
      <c r="B60" s="12" t="s">
        <v>16</v>
      </c>
      <c r="C60" s="13">
        <v>45759</v>
      </c>
      <c r="D60" s="14">
        <v>2100</v>
      </c>
      <c r="E60" s="14">
        <v>2</v>
      </c>
      <c r="F60" s="12">
        <v>4200</v>
      </c>
      <c r="G60" s="12">
        <v>840</v>
      </c>
      <c r="H60" s="84">
        <v>3360</v>
      </c>
      <c r="I60" s="15" t="s">
        <v>41</v>
      </c>
    </row>
    <row r="61" spans="1:9" ht="21.75" thickTop="1" thickBot="1" x14ac:dyDescent="0.25">
      <c r="A61" s="12" t="s">
        <v>11</v>
      </c>
      <c r="B61" s="12" t="s">
        <v>17</v>
      </c>
      <c r="C61" s="13">
        <v>45760</v>
      </c>
      <c r="D61" s="14">
        <v>160</v>
      </c>
      <c r="E61" s="14">
        <v>20</v>
      </c>
      <c r="F61" s="12">
        <v>3200</v>
      </c>
      <c r="G61" s="12">
        <v>640</v>
      </c>
      <c r="H61" s="84">
        <v>2560</v>
      </c>
      <c r="I61" s="15" t="s">
        <v>42</v>
      </c>
    </row>
    <row r="62" spans="1:9" ht="21.75" thickTop="1" thickBot="1" x14ac:dyDescent="0.25">
      <c r="A62" s="12" t="s">
        <v>13</v>
      </c>
      <c r="B62" s="12" t="s">
        <v>14</v>
      </c>
      <c r="C62" s="13">
        <v>45761</v>
      </c>
      <c r="D62" s="14">
        <v>2500</v>
      </c>
      <c r="E62" s="14">
        <v>3</v>
      </c>
      <c r="F62" s="12">
        <v>7500</v>
      </c>
      <c r="G62" s="12">
        <v>1500</v>
      </c>
      <c r="H62" s="84">
        <v>6000</v>
      </c>
      <c r="I62" s="15" t="s">
        <v>38</v>
      </c>
    </row>
    <row r="63" spans="1:9" ht="21.75" thickTop="1" thickBot="1" x14ac:dyDescent="0.25">
      <c r="A63" s="12" t="s">
        <v>6</v>
      </c>
      <c r="B63" s="12" t="s">
        <v>15</v>
      </c>
      <c r="C63" s="13">
        <v>45762</v>
      </c>
      <c r="D63" s="14">
        <v>18000</v>
      </c>
      <c r="E63" s="14">
        <v>1</v>
      </c>
      <c r="F63" s="12">
        <v>18000</v>
      </c>
      <c r="G63" s="12">
        <v>3600</v>
      </c>
      <c r="H63" s="84">
        <v>14400</v>
      </c>
      <c r="I63" s="15" t="s">
        <v>39</v>
      </c>
    </row>
    <row r="64" spans="1:9" ht="21.75" thickTop="1" thickBot="1" x14ac:dyDescent="0.25">
      <c r="A64" s="12" t="s">
        <v>9</v>
      </c>
      <c r="B64" s="12" t="s">
        <v>20</v>
      </c>
      <c r="C64" s="13">
        <v>45763</v>
      </c>
      <c r="D64" s="14">
        <v>3500</v>
      </c>
      <c r="E64" s="14">
        <v>2</v>
      </c>
      <c r="F64" s="12">
        <v>7000</v>
      </c>
      <c r="G64" s="12">
        <v>1400</v>
      </c>
      <c r="H64" s="84">
        <v>5600</v>
      </c>
      <c r="I64" s="15" t="s">
        <v>40</v>
      </c>
    </row>
    <row r="65" spans="1:9" ht="21.75" thickTop="1" thickBot="1" x14ac:dyDescent="0.25">
      <c r="A65" s="12" t="s">
        <v>11</v>
      </c>
      <c r="B65" s="12" t="s">
        <v>21</v>
      </c>
      <c r="C65" s="13">
        <v>45764</v>
      </c>
      <c r="D65" s="14">
        <v>50</v>
      </c>
      <c r="E65" s="14">
        <v>40</v>
      </c>
      <c r="F65" s="12">
        <v>2000</v>
      </c>
      <c r="G65" s="12">
        <v>400</v>
      </c>
      <c r="H65" s="84">
        <v>1600</v>
      </c>
      <c r="I65" s="15" t="s">
        <v>41</v>
      </c>
    </row>
    <row r="66" spans="1:9" ht="21.75" thickTop="1" thickBot="1" x14ac:dyDescent="0.25">
      <c r="A66" s="12" t="s">
        <v>13</v>
      </c>
      <c r="B66" s="12" t="s">
        <v>18</v>
      </c>
      <c r="C66" s="13">
        <v>45765</v>
      </c>
      <c r="D66" s="14">
        <v>6200</v>
      </c>
      <c r="E66" s="14">
        <v>1</v>
      </c>
      <c r="F66" s="12">
        <v>6200</v>
      </c>
      <c r="G66" s="12">
        <v>1240</v>
      </c>
      <c r="H66" s="84">
        <v>4960</v>
      </c>
      <c r="I66" s="15" t="s">
        <v>42</v>
      </c>
    </row>
    <row r="67" spans="1:9" ht="21.75" thickTop="1" thickBot="1" x14ac:dyDescent="0.25">
      <c r="A67" s="12" t="s">
        <v>6</v>
      </c>
      <c r="B67" s="12" t="s">
        <v>19</v>
      </c>
      <c r="C67" s="13">
        <v>45766</v>
      </c>
      <c r="D67" s="14">
        <v>3100</v>
      </c>
      <c r="E67" s="14">
        <v>3</v>
      </c>
      <c r="F67" s="12">
        <v>9300</v>
      </c>
      <c r="G67" s="12">
        <v>1860</v>
      </c>
      <c r="H67" s="84">
        <v>7440</v>
      </c>
      <c r="I67" s="15" t="s">
        <v>38</v>
      </c>
    </row>
    <row r="68" spans="1:9" ht="21.75" thickTop="1" thickBot="1" x14ac:dyDescent="0.25">
      <c r="A68" s="12" t="s">
        <v>9</v>
      </c>
      <c r="B68" s="12" t="s">
        <v>10</v>
      </c>
      <c r="C68" s="13">
        <v>45767</v>
      </c>
      <c r="D68" s="14">
        <v>1250</v>
      </c>
      <c r="E68" s="14">
        <v>4</v>
      </c>
      <c r="F68" s="12">
        <v>5000</v>
      </c>
      <c r="G68" s="12">
        <v>1000</v>
      </c>
      <c r="H68" s="84">
        <v>4000</v>
      </c>
      <c r="I68" s="15" t="s">
        <v>39</v>
      </c>
    </row>
    <row r="69" spans="1:9" ht="21.75" thickTop="1" thickBot="1" x14ac:dyDescent="0.25">
      <c r="A69" s="12" t="s">
        <v>11</v>
      </c>
      <c r="B69" s="12" t="s">
        <v>12</v>
      </c>
      <c r="C69" s="13">
        <v>45768</v>
      </c>
      <c r="D69" s="14">
        <v>85</v>
      </c>
      <c r="E69" s="14">
        <v>35</v>
      </c>
      <c r="F69" s="12">
        <v>2975</v>
      </c>
      <c r="G69" s="12">
        <v>595</v>
      </c>
      <c r="H69" s="84">
        <v>2380</v>
      </c>
      <c r="I69" s="15" t="s">
        <v>40</v>
      </c>
    </row>
    <row r="70" spans="1:9" ht="21.75" thickTop="1" thickBot="1" x14ac:dyDescent="0.25">
      <c r="A70" s="12" t="s">
        <v>13</v>
      </c>
      <c r="B70" s="12" t="s">
        <v>22</v>
      </c>
      <c r="C70" s="13">
        <v>45769</v>
      </c>
      <c r="D70" s="14">
        <v>21000</v>
      </c>
      <c r="E70" s="14">
        <v>1</v>
      </c>
      <c r="F70" s="12">
        <v>21000</v>
      </c>
      <c r="G70" s="12">
        <v>4200</v>
      </c>
      <c r="H70" s="84">
        <v>16800</v>
      </c>
      <c r="I70" s="15" t="s">
        <v>41</v>
      </c>
    </row>
    <row r="71" spans="1:9" ht="21.75" thickTop="1" thickBot="1" x14ac:dyDescent="0.25">
      <c r="A71" s="12" t="s">
        <v>6</v>
      </c>
      <c r="B71" s="12" t="s">
        <v>7</v>
      </c>
      <c r="C71" s="13">
        <v>45770</v>
      </c>
      <c r="D71" s="14">
        <v>60000</v>
      </c>
      <c r="E71" s="14">
        <v>1</v>
      </c>
      <c r="F71" s="12">
        <v>60000</v>
      </c>
      <c r="G71" s="12">
        <v>12000</v>
      </c>
      <c r="H71" s="84">
        <v>48000</v>
      </c>
      <c r="I71" s="15" t="s">
        <v>42</v>
      </c>
    </row>
    <row r="72" spans="1:9" ht="21.75" thickTop="1" thickBot="1" x14ac:dyDescent="0.25">
      <c r="A72" s="12" t="s">
        <v>9</v>
      </c>
      <c r="B72" s="12" t="s">
        <v>23</v>
      </c>
      <c r="C72" s="13">
        <v>45771</v>
      </c>
      <c r="D72" s="14">
        <v>750</v>
      </c>
      <c r="E72" s="14">
        <v>6</v>
      </c>
      <c r="F72" s="12">
        <v>4500</v>
      </c>
      <c r="G72" s="12">
        <v>900</v>
      </c>
      <c r="H72" s="84">
        <v>3600</v>
      </c>
      <c r="I72" s="15" t="s">
        <v>38</v>
      </c>
    </row>
    <row r="73" spans="1:9" ht="21.75" thickTop="1" thickBot="1" x14ac:dyDescent="0.25">
      <c r="A73" s="12" t="s">
        <v>11</v>
      </c>
      <c r="B73" s="12" t="s">
        <v>24</v>
      </c>
      <c r="C73" s="13">
        <v>45772</v>
      </c>
      <c r="D73" s="14">
        <v>70</v>
      </c>
      <c r="E73" s="14">
        <v>30</v>
      </c>
      <c r="F73" s="12">
        <v>2100</v>
      </c>
      <c r="G73" s="12">
        <v>420</v>
      </c>
      <c r="H73" s="84">
        <v>1680</v>
      </c>
      <c r="I73" s="15" t="s">
        <v>39</v>
      </c>
    </row>
    <row r="74" spans="1:9" ht="21.75" thickTop="1" thickBot="1" x14ac:dyDescent="0.25">
      <c r="A74" s="12" t="s">
        <v>13</v>
      </c>
      <c r="B74" s="12" t="s">
        <v>25</v>
      </c>
      <c r="C74" s="13">
        <v>45773</v>
      </c>
      <c r="D74" s="14">
        <v>33000</v>
      </c>
      <c r="E74" s="14">
        <v>1</v>
      </c>
      <c r="F74" s="12">
        <v>33000</v>
      </c>
      <c r="G74" s="12">
        <v>6600</v>
      </c>
      <c r="H74" s="84">
        <v>26400</v>
      </c>
      <c r="I74" s="15" t="s">
        <v>40</v>
      </c>
    </row>
    <row r="75" spans="1:9" ht="21.75" thickTop="1" thickBot="1" x14ac:dyDescent="0.25">
      <c r="A75" s="12" t="s">
        <v>6</v>
      </c>
      <c r="B75" s="12" t="s">
        <v>8</v>
      </c>
      <c r="C75" s="13">
        <v>45774</v>
      </c>
      <c r="D75" s="14">
        <v>23000</v>
      </c>
      <c r="E75" s="14">
        <v>1</v>
      </c>
      <c r="F75" s="12">
        <v>23000</v>
      </c>
      <c r="G75" s="12">
        <v>4600</v>
      </c>
      <c r="H75" s="84">
        <v>18400</v>
      </c>
      <c r="I75" s="15" t="s">
        <v>41</v>
      </c>
    </row>
    <row r="76" spans="1:9" ht="21.75" thickTop="1" thickBot="1" x14ac:dyDescent="0.25">
      <c r="A76" s="12" t="s">
        <v>9</v>
      </c>
      <c r="B76" s="12" t="s">
        <v>16</v>
      </c>
      <c r="C76" s="13">
        <v>45775</v>
      </c>
      <c r="D76" s="14">
        <v>2200</v>
      </c>
      <c r="E76" s="14">
        <v>2</v>
      </c>
      <c r="F76" s="12">
        <v>4400</v>
      </c>
      <c r="G76" s="12">
        <v>880</v>
      </c>
      <c r="H76" s="84">
        <v>3520</v>
      </c>
      <c r="I76" s="15" t="s">
        <v>42</v>
      </c>
    </row>
    <row r="77" spans="1:9" ht="21.75" thickTop="1" thickBot="1" x14ac:dyDescent="0.25">
      <c r="A77" s="12" t="s">
        <v>11</v>
      </c>
      <c r="B77" s="12" t="s">
        <v>17</v>
      </c>
      <c r="C77" s="13">
        <v>45776</v>
      </c>
      <c r="D77" s="14">
        <v>155</v>
      </c>
      <c r="E77" s="14">
        <v>20</v>
      </c>
      <c r="F77" s="12">
        <v>3100</v>
      </c>
      <c r="G77" s="12">
        <v>620</v>
      </c>
      <c r="H77" s="84">
        <v>2480</v>
      </c>
      <c r="I77" s="15" t="s">
        <v>38</v>
      </c>
    </row>
    <row r="78" spans="1:9" ht="21.75" thickTop="1" thickBot="1" x14ac:dyDescent="0.25">
      <c r="A78" s="12" t="s">
        <v>13</v>
      </c>
      <c r="B78" s="12" t="s">
        <v>14</v>
      </c>
      <c r="C78" s="13">
        <v>45777</v>
      </c>
      <c r="D78" s="14">
        <v>2600</v>
      </c>
      <c r="E78" s="14">
        <v>2</v>
      </c>
      <c r="F78" s="12">
        <v>5200</v>
      </c>
      <c r="G78" s="12">
        <v>1040</v>
      </c>
      <c r="H78" s="84">
        <v>4160</v>
      </c>
      <c r="I78" s="15" t="s">
        <v>39</v>
      </c>
    </row>
    <row r="79" spans="1:9" ht="21.75" thickTop="1" thickBot="1" x14ac:dyDescent="0.25">
      <c r="A79" s="12" t="s">
        <v>6</v>
      </c>
      <c r="B79" s="12" t="s">
        <v>15</v>
      </c>
      <c r="C79" s="13">
        <v>45778</v>
      </c>
      <c r="D79" s="14">
        <v>17000</v>
      </c>
      <c r="E79" s="14">
        <v>2</v>
      </c>
      <c r="F79" s="12">
        <v>34000</v>
      </c>
      <c r="G79" s="12">
        <v>6800</v>
      </c>
      <c r="H79" s="84">
        <v>27200</v>
      </c>
      <c r="I79" s="15" t="s">
        <v>42</v>
      </c>
    </row>
    <row r="80" spans="1:9" ht="21.75" thickTop="1" thickBot="1" x14ac:dyDescent="0.25">
      <c r="A80" s="12" t="s">
        <v>9</v>
      </c>
      <c r="B80" s="12" t="s">
        <v>10</v>
      </c>
      <c r="C80" s="13">
        <v>45779</v>
      </c>
      <c r="D80" s="14">
        <v>1350</v>
      </c>
      <c r="E80" s="14">
        <v>3</v>
      </c>
      <c r="F80" s="12">
        <v>4050</v>
      </c>
      <c r="G80" s="12">
        <v>810</v>
      </c>
      <c r="H80" s="84">
        <v>3240</v>
      </c>
      <c r="I80" s="15" t="s">
        <v>41</v>
      </c>
    </row>
    <row r="81" spans="1:9" ht="21.75" thickTop="1" thickBot="1" x14ac:dyDescent="0.25">
      <c r="A81" s="12" t="s">
        <v>11</v>
      </c>
      <c r="B81" s="12" t="s">
        <v>12</v>
      </c>
      <c r="C81" s="13">
        <v>45780</v>
      </c>
      <c r="D81" s="14">
        <v>90</v>
      </c>
      <c r="E81" s="14">
        <v>40</v>
      </c>
      <c r="F81" s="12">
        <v>3600</v>
      </c>
      <c r="G81" s="12">
        <v>720</v>
      </c>
      <c r="H81" s="84">
        <v>2880</v>
      </c>
      <c r="I81" s="15" t="s">
        <v>42</v>
      </c>
    </row>
    <row r="82" spans="1:9" ht="21.75" thickTop="1" thickBot="1" x14ac:dyDescent="0.25">
      <c r="A82" s="12" t="s">
        <v>13</v>
      </c>
      <c r="B82" s="12" t="s">
        <v>18</v>
      </c>
      <c r="C82" s="13">
        <v>45781</v>
      </c>
      <c r="D82" s="14">
        <v>6500</v>
      </c>
      <c r="E82" s="14">
        <v>1</v>
      </c>
      <c r="F82" s="12">
        <v>6500</v>
      </c>
      <c r="G82" s="12">
        <v>1300</v>
      </c>
      <c r="H82" s="84">
        <v>5200</v>
      </c>
      <c r="I82" s="15" t="s">
        <v>38</v>
      </c>
    </row>
    <row r="83" spans="1:9" ht="21.75" thickTop="1" thickBot="1" x14ac:dyDescent="0.25">
      <c r="A83" s="12" t="s">
        <v>6</v>
      </c>
      <c r="B83" s="12" t="s">
        <v>19</v>
      </c>
      <c r="C83" s="13">
        <v>45782</v>
      </c>
      <c r="D83" s="14">
        <v>3200</v>
      </c>
      <c r="E83" s="14">
        <v>2</v>
      </c>
      <c r="F83" s="12">
        <v>6400</v>
      </c>
      <c r="G83" s="12">
        <v>1280</v>
      </c>
      <c r="H83" s="84">
        <v>5120</v>
      </c>
      <c r="I83" s="15" t="s">
        <v>39</v>
      </c>
    </row>
    <row r="84" spans="1:9" ht="21.75" thickTop="1" thickBot="1" x14ac:dyDescent="0.25">
      <c r="A84" s="12" t="s">
        <v>9</v>
      </c>
      <c r="B84" s="12" t="s">
        <v>20</v>
      </c>
      <c r="C84" s="13">
        <v>45783</v>
      </c>
      <c r="D84" s="14">
        <v>3600</v>
      </c>
      <c r="E84" s="14">
        <v>1</v>
      </c>
      <c r="F84" s="12">
        <v>3600</v>
      </c>
      <c r="G84" s="12">
        <v>720</v>
      </c>
      <c r="H84" s="84">
        <v>2880</v>
      </c>
      <c r="I84" s="15" t="s">
        <v>40</v>
      </c>
    </row>
    <row r="85" spans="1:9" ht="21.75" thickTop="1" thickBot="1" x14ac:dyDescent="0.25">
      <c r="A85" s="12" t="s">
        <v>11</v>
      </c>
      <c r="B85" s="12" t="s">
        <v>21</v>
      </c>
      <c r="C85" s="13">
        <v>45784</v>
      </c>
      <c r="D85" s="14">
        <v>48</v>
      </c>
      <c r="E85" s="14">
        <v>50</v>
      </c>
      <c r="F85" s="12">
        <v>2400</v>
      </c>
      <c r="G85" s="12">
        <v>480</v>
      </c>
      <c r="H85" s="84">
        <v>1920</v>
      </c>
      <c r="I85" s="15" t="s">
        <v>41</v>
      </c>
    </row>
    <row r="86" spans="1:9" ht="21.75" thickTop="1" thickBot="1" x14ac:dyDescent="0.25">
      <c r="A86" s="12" t="s">
        <v>13</v>
      </c>
      <c r="B86" s="12" t="s">
        <v>22</v>
      </c>
      <c r="C86" s="13">
        <v>45785</v>
      </c>
      <c r="D86" s="14">
        <v>22000</v>
      </c>
      <c r="E86" s="14">
        <v>1</v>
      </c>
      <c r="F86" s="12">
        <v>22000</v>
      </c>
      <c r="G86" s="12">
        <v>4400</v>
      </c>
      <c r="H86" s="84">
        <v>17600</v>
      </c>
      <c r="I86" s="15" t="s">
        <v>42</v>
      </c>
    </row>
    <row r="87" spans="1:9" ht="21.75" thickTop="1" thickBot="1" x14ac:dyDescent="0.25">
      <c r="A87" s="12" t="s">
        <v>6</v>
      </c>
      <c r="B87" s="12" t="s">
        <v>7</v>
      </c>
      <c r="C87" s="13">
        <v>45786</v>
      </c>
      <c r="D87" s="14">
        <v>58000</v>
      </c>
      <c r="E87" s="14">
        <v>1</v>
      </c>
      <c r="F87" s="12">
        <v>58000</v>
      </c>
      <c r="G87" s="12">
        <v>11600</v>
      </c>
      <c r="H87" s="84">
        <v>46400</v>
      </c>
      <c r="I87" s="15" t="s">
        <v>38</v>
      </c>
    </row>
    <row r="88" spans="1:9" ht="21.75" thickTop="1" thickBot="1" x14ac:dyDescent="0.25">
      <c r="A88" s="12" t="s">
        <v>9</v>
      </c>
      <c r="B88" s="12" t="s">
        <v>23</v>
      </c>
      <c r="C88" s="13">
        <v>45787</v>
      </c>
      <c r="D88" s="14">
        <v>800</v>
      </c>
      <c r="E88" s="14">
        <v>4</v>
      </c>
      <c r="F88" s="12">
        <v>3200</v>
      </c>
      <c r="G88" s="12">
        <v>640</v>
      </c>
      <c r="H88" s="84">
        <v>2560</v>
      </c>
      <c r="I88" s="15" t="s">
        <v>39</v>
      </c>
    </row>
    <row r="89" spans="1:9" ht="21.75" thickTop="1" thickBot="1" x14ac:dyDescent="0.25">
      <c r="A89" s="12" t="s">
        <v>11</v>
      </c>
      <c r="B89" s="12" t="s">
        <v>24</v>
      </c>
      <c r="C89" s="13">
        <v>45788</v>
      </c>
      <c r="D89" s="14">
        <v>65</v>
      </c>
      <c r="E89" s="14">
        <v>45</v>
      </c>
      <c r="F89" s="12">
        <v>2925</v>
      </c>
      <c r="G89" s="12">
        <v>585</v>
      </c>
      <c r="H89" s="84">
        <v>2340</v>
      </c>
      <c r="I89" s="15" t="s">
        <v>40</v>
      </c>
    </row>
    <row r="90" spans="1:9" ht="21.75" thickTop="1" thickBot="1" x14ac:dyDescent="0.25">
      <c r="A90" s="12" t="s">
        <v>13</v>
      </c>
      <c r="B90" s="12" t="s">
        <v>25</v>
      </c>
      <c r="C90" s="13">
        <v>45789</v>
      </c>
      <c r="D90" s="14">
        <v>34000</v>
      </c>
      <c r="E90" s="14">
        <v>1</v>
      </c>
      <c r="F90" s="12">
        <v>34000</v>
      </c>
      <c r="G90" s="12">
        <v>6800</v>
      </c>
      <c r="H90" s="84">
        <v>27200</v>
      </c>
      <c r="I90" s="15" t="s">
        <v>41</v>
      </c>
    </row>
    <row r="91" spans="1:9" ht="18.75" thickTop="1" x14ac:dyDescent="0.2">
      <c r="I91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D10B-16C5-41EE-A904-6D26BE0053D9}">
  <dimension ref="A2:AB95"/>
  <sheetViews>
    <sheetView topLeftCell="L1" zoomScale="86" workbookViewId="0">
      <selection activeCell="AJ17" sqref="AJ17"/>
    </sheetView>
  </sheetViews>
  <sheetFormatPr defaultRowHeight="14.25" x14ac:dyDescent="0.2"/>
  <cols>
    <col min="1" max="1" width="13.75" customWidth="1"/>
    <col min="2" max="2" width="9.875" customWidth="1"/>
    <col min="3" max="3" width="11.5" customWidth="1"/>
    <col min="4" max="4" width="8.375" customWidth="1"/>
    <col min="5" max="5" width="9.875" customWidth="1"/>
    <col min="6" max="6" width="9.75" customWidth="1"/>
    <col min="7" max="7" width="8.375" customWidth="1"/>
    <col min="8" max="8" width="16" customWidth="1"/>
    <col min="10" max="10" width="49.375" customWidth="1"/>
    <col min="11" max="11" width="16.5" customWidth="1"/>
    <col min="12" max="12" width="15.75" customWidth="1"/>
    <col min="13" max="13" width="14.5" customWidth="1"/>
    <col min="14" max="14" width="7.5" customWidth="1"/>
    <col min="15" max="15" width="13.375" customWidth="1"/>
    <col min="16" max="16" width="7.625" customWidth="1"/>
    <col min="17" max="17" width="8" customWidth="1"/>
    <col min="20" max="20" width="25" customWidth="1"/>
    <col min="22" max="22" width="18.5" customWidth="1"/>
    <col min="23" max="23" width="15.375" customWidth="1"/>
    <col min="24" max="24" width="14.75" customWidth="1"/>
    <col min="27" max="27" width="44.5" customWidth="1"/>
    <col min="28" max="28" width="42.875" customWidth="1"/>
  </cols>
  <sheetData>
    <row r="2" spans="1:28" ht="30" x14ac:dyDescent="0.4">
      <c r="C2" s="25" t="s">
        <v>46</v>
      </c>
      <c r="D2" s="25"/>
      <c r="E2" s="25"/>
      <c r="F2" s="25"/>
      <c r="H2" s="25"/>
      <c r="J2" s="32" t="s">
        <v>47</v>
      </c>
      <c r="V2" s="33" t="s">
        <v>87</v>
      </c>
      <c r="AA2" s="35" t="s">
        <v>120</v>
      </c>
      <c r="AB2" s="34"/>
    </row>
    <row r="3" spans="1:28" ht="26.25" x14ac:dyDescent="0.4">
      <c r="C3" s="26" t="s">
        <v>45</v>
      </c>
      <c r="D3" s="27"/>
      <c r="E3" s="27"/>
      <c r="F3" s="24"/>
      <c r="H3" s="24"/>
    </row>
    <row r="4" spans="1:28" ht="18" x14ac:dyDescent="0.2">
      <c r="C4" s="6"/>
      <c r="E4" s="23"/>
      <c r="F4" s="23"/>
      <c r="G4" s="23"/>
      <c r="H4" s="23"/>
      <c r="K4" s="1"/>
      <c r="L4" s="1"/>
      <c r="M4" s="1"/>
      <c r="N4" s="1"/>
      <c r="O4" s="1"/>
      <c r="P4" s="1"/>
      <c r="Q4" s="1"/>
      <c r="AA4" t="s">
        <v>43</v>
      </c>
      <c r="AB4" t="s">
        <v>88</v>
      </c>
    </row>
    <row r="5" spans="1:28" ht="18.75" thickBot="1" x14ac:dyDescent="0.3">
      <c r="A5" s="20" t="s">
        <v>9</v>
      </c>
      <c r="B5" s="20" t="s">
        <v>0</v>
      </c>
      <c r="C5" s="20" t="s">
        <v>1</v>
      </c>
      <c r="D5" s="20" t="s">
        <v>2</v>
      </c>
      <c r="E5" s="20" t="s">
        <v>3</v>
      </c>
      <c r="F5" s="20" t="s">
        <v>4</v>
      </c>
      <c r="G5" s="20" t="s">
        <v>5</v>
      </c>
      <c r="H5" s="20" t="s">
        <v>37</v>
      </c>
      <c r="K5" s="28" t="s">
        <v>26</v>
      </c>
      <c r="L5" s="28" t="s">
        <v>0</v>
      </c>
      <c r="M5" s="28" t="s">
        <v>1</v>
      </c>
      <c r="N5" s="28" t="s">
        <v>2</v>
      </c>
      <c r="O5" s="28" t="s">
        <v>3</v>
      </c>
      <c r="P5" s="28" t="s">
        <v>4</v>
      </c>
      <c r="Q5" s="28" t="s">
        <v>5</v>
      </c>
      <c r="T5" s="21"/>
      <c r="V5" s="22" t="s">
        <v>84</v>
      </c>
      <c r="W5" s="22" t="s">
        <v>85</v>
      </c>
      <c r="X5" s="22" t="s">
        <v>86</v>
      </c>
      <c r="AA5" t="s">
        <v>89</v>
      </c>
      <c r="AB5" t="s">
        <v>90</v>
      </c>
    </row>
    <row r="6" spans="1:28" ht="19.5" thickTop="1" thickBot="1" x14ac:dyDescent="0.3">
      <c r="A6" s="17" t="s">
        <v>6</v>
      </c>
      <c r="B6" s="17" t="s">
        <v>7</v>
      </c>
      <c r="C6" s="18">
        <v>45662</v>
      </c>
      <c r="D6" s="16">
        <v>55000</v>
      </c>
      <c r="E6" s="16">
        <v>2</v>
      </c>
      <c r="F6" s="17">
        <v>110000</v>
      </c>
      <c r="G6" s="17">
        <v>22000</v>
      </c>
      <c r="H6" s="19" t="s">
        <v>38</v>
      </c>
      <c r="J6" t="s">
        <v>48</v>
      </c>
      <c r="K6" s="29" t="s">
        <v>6</v>
      </c>
      <c r="L6" s="30" t="s">
        <v>7</v>
      </c>
      <c r="M6" s="30">
        <v>45662</v>
      </c>
      <c r="N6" s="31">
        <v>55000</v>
      </c>
      <c r="O6" s="31">
        <v>2</v>
      </c>
      <c r="P6" s="31">
        <v>110000</v>
      </c>
      <c r="Q6" s="31">
        <v>22000</v>
      </c>
      <c r="T6" s="21" t="s">
        <v>81</v>
      </c>
      <c r="V6" s="22" t="str">
        <f>UPPER(T6)</f>
        <v>ELECTRONICS</v>
      </c>
      <c r="W6" s="22" t="str">
        <f>LOWER(T6)</f>
        <v>electronics</v>
      </c>
      <c r="X6" s="22" t="str">
        <f>PROPER(T6)</f>
        <v>Electronics</v>
      </c>
      <c r="AA6" t="s">
        <v>91</v>
      </c>
      <c r="AB6" t="str">
        <f>TRIM(AA6)</f>
        <v>Electronics Laptop</v>
      </c>
    </row>
    <row r="7" spans="1:28" ht="19.5" thickTop="1" thickBot="1" x14ac:dyDescent="0.3">
      <c r="A7" s="17" t="s">
        <v>6</v>
      </c>
      <c r="B7" s="17" t="s">
        <v>8</v>
      </c>
      <c r="C7" s="18">
        <v>45665</v>
      </c>
      <c r="D7" s="16">
        <v>20000</v>
      </c>
      <c r="E7" s="16">
        <v>3</v>
      </c>
      <c r="F7" s="17">
        <v>60000</v>
      </c>
      <c r="G7" s="17">
        <v>12000</v>
      </c>
      <c r="H7" s="19" t="s">
        <v>39</v>
      </c>
      <c r="J7" t="s">
        <v>49</v>
      </c>
      <c r="K7" s="29" t="s">
        <v>6</v>
      </c>
      <c r="L7" s="30" t="s">
        <v>8</v>
      </c>
      <c r="M7" s="30">
        <v>45665</v>
      </c>
      <c r="N7" s="31">
        <v>20000</v>
      </c>
      <c r="O7" s="31">
        <v>3</v>
      </c>
      <c r="P7" s="31">
        <v>60000</v>
      </c>
      <c r="Q7" s="31">
        <v>12000</v>
      </c>
      <c r="T7" s="21" t="s">
        <v>44</v>
      </c>
      <c r="V7" s="22" t="str">
        <f t="shared" ref="V7:V70" si="0">UPPER(T7)</f>
        <v>CLOTHING</v>
      </c>
      <c r="W7" s="22" t="str">
        <f t="shared" ref="W7:W70" si="1">LOWER(T7)</f>
        <v>clothing</v>
      </c>
      <c r="X7" s="22" t="str">
        <f t="shared" ref="X7:X70" si="2">PROPER(T7)</f>
        <v>Clothing</v>
      </c>
      <c r="AA7" t="s">
        <v>107</v>
      </c>
      <c r="AB7" t="str">
        <f t="shared" ref="AB7:AB70" si="3">TRIM(AA7)</f>
        <v>Electronics Mobile</v>
      </c>
    </row>
    <row r="8" spans="1:28" ht="19.5" thickTop="1" thickBot="1" x14ac:dyDescent="0.3">
      <c r="A8" s="17" t="s">
        <v>9</v>
      </c>
      <c r="B8" s="17" t="s">
        <v>10</v>
      </c>
      <c r="C8" s="18">
        <v>45667</v>
      </c>
      <c r="D8" s="16">
        <v>1200</v>
      </c>
      <c r="E8" s="16">
        <v>5</v>
      </c>
      <c r="F8" s="17">
        <v>6000</v>
      </c>
      <c r="G8" s="17">
        <v>1200</v>
      </c>
      <c r="H8" s="19" t="s">
        <v>40</v>
      </c>
      <c r="J8" t="s">
        <v>50</v>
      </c>
      <c r="K8" s="29" t="s">
        <v>9</v>
      </c>
      <c r="L8" s="30" t="s">
        <v>10</v>
      </c>
      <c r="M8" s="30">
        <v>45667</v>
      </c>
      <c r="N8" s="31">
        <v>1200</v>
      </c>
      <c r="O8" s="31">
        <v>5</v>
      </c>
      <c r="P8" s="31">
        <v>6000</v>
      </c>
      <c r="Q8" s="31">
        <v>1200</v>
      </c>
      <c r="T8" s="21" t="s">
        <v>82</v>
      </c>
      <c r="V8" s="22" t="str">
        <f t="shared" si="0"/>
        <v>GROCERY</v>
      </c>
      <c r="W8" s="22" t="str">
        <f t="shared" si="1"/>
        <v>grocery</v>
      </c>
      <c r="X8" s="22" t="str">
        <f t="shared" si="2"/>
        <v>Grocery</v>
      </c>
      <c r="AA8" t="s">
        <v>93</v>
      </c>
      <c r="AB8" t="str">
        <f t="shared" si="3"/>
        <v>Clothing Shirt</v>
      </c>
    </row>
    <row r="9" spans="1:28" ht="19.5" thickTop="1" thickBot="1" x14ac:dyDescent="0.3">
      <c r="A9" s="17" t="s">
        <v>11</v>
      </c>
      <c r="B9" s="17" t="s">
        <v>12</v>
      </c>
      <c r="C9" s="18">
        <v>45669</v>
      </c>
      <c r="D9" s="16">
        <v>80</v>
      </c>
      <c r="E9" s="16">
        <v>50</v>
      </c>
      <c r="F9" s="17">
        <v>4000</v>
      </c>
      <c r="G9" s="17">
        <v>800</v>
      </c>
      <c r="H9" s="19" t="s">
        <v>41</v>
      </c>
      <c r="J9" t="s">
        <v>51</v>
      </c>
      <c r="K9" s="29" t="s">
        <v>11</v>
      </c>
      <c r="L9" s="30" t="s">
        <v>12</v>
      </c>
      <c r="M9" s="30">
        <v>45669</v>
      </c>
      <c r="N9" s="31">
        <v>80</v>
      </c>
      <c r="O9" s="31">
        <v>50</v>
      </c>
      <c r="P9" s="31">
        <v>4000</v>
      </c>
      <c r="Q9" s="31">
        <v>800</v>
      </c>
      <c r="T9" s="21" t="s">
        <v>83</v>
      </c>
      <c r="V9" s="22" t="str">
        <f t="shared" si="0"/>
        <v>FURNITURE</v>
      </c>
      <c r="W9" s="22" t="str">
        <f t="shared" si="1"/>
        <v>furniture</v>
      </c>
      <c r="X9" s="22" t="str">
        <f t="shared" si="2"/>
        <v>Furniture</v>
      </c>
      <c r="AA9" t="s">
        <v>108</v>
      </c>
      <c r="AB9" t="str">
        <f t="shared" si="3"/>
        <v>Grocery Rice</v>
      </c>
    </row>
    <row r="10" spans="1:28" ht="19.5" thickTop="1" thickBot="1" x14ac:dyDescent="0.3">
      <c r="A10" s="17" t="s">
        <v>13</v>
      </c>
      <c r="B10" s="17" t="s">
        <v>14</v>
      </c>
      <c r="C10" s="18">
        <v>45672</v>
      </c>
      <c r="D10" s="16">
        <v>2500</v>
      </c>
      <c r="E10" s="16">
        <v>4</v>
      </c>
      <c r="F10" s="17">
        <v>10000</v>
      </c>
      <c r="G10" s="17">
        <v>2000</v>
      </c>
      <c r="H10" s="19" t="s">
        <v>42</v>
      </c>
      <c r="J10" t="s">
        <v>52</v>
      </c>
      <c r="K10" s="29" t="s">
        <v>13</v>
      </c>
      <c r="L10" s="30" t="s">
        <v>14</v>
      </c>
      <c r="M10" s="30">
        <v>45672</v>
      </c>
      <c r="N10" s="31">
        <v>2500</v>
      </c>
      <c r="O10" s="31">
        <v>4</v>
      </c>
      <c r="P10" s="31">
        <v>10000</v>
      </c>
      <c r="Q10" s="31">
        <v>2000</v>
      </c>
      <c r="T10" s="21" t="s">
        <v>81</v>
      </c>
      <c r="V10" s="22" t="str">
        <f t="shared" si="0"/>
        <v>ELECTRONICS</v>
      </c>
      <c r="W10" s="22" t="str">
        <f t="shared" si="1"/>
        <v>electronics</v>
      </c>
      <c r="X10" s="22" t="str">
        <f t="shared" si="2"/>
        <v>Electronics</v>
      </c>
      <c r="AA10" t="s">
        <v>109</v>
      </c>
      <c r="AB10" t="str">
        <f t="shared" si="3"/>
        <v>Furniture Chair</v>
      </c>
    </row>
    <row r="11" spans="1:28" ht="19.5" thickTop="1" thickBot="1" x14ac:dyDescent="0.3">
      <c r="A11" s="17" t="s">
        <v>6</v>
      </c>
      <c r="B11" s="17" t="s">
        <v>15</v>
      </c>
      <c r="C11" s="18">
        <v>45675</v>
      </c>
      <c r="D11" s="16">
        <v>18000</v>
      </c>
      <c r="E11" s="16">
        <v>2</v>
      </c>
      <c r="F11" s="17">
        <v>36000</v>
      </c>
      <c r="G11" s="17">
        <v>7200</v>
      </c>
      <c r="H11" s="19" t="s">
        <v>38</v>
      </c>
      <c r="J11" t="s">
        <v>53</v>
      </c>
      <c r="K11" s="29" t="s">
        <v>6</v>
      </c>
      <c r="L11" s="30" t="s">
        <v>15</v>
      </c>
      <c r="M11" s="30">
        <v>45675</v>
      </c>
      <c r="N11" s="31">
        <v>18000</v>
      </c>
      <c r="O11" s="31">
        <v>2</v>
      </c>
      <c r="P11" s="31">
        <v>36000</v>
      </c>
      <c r="Q11" s="31">
        <v>7200</v>
      </c>
      <c r="T11" s="21" t="s">
        <v>44</v>
      </c>
      <c r="V11" s="22" t="str">
        <f t="shared" si="0"/>
        <v>CLOTHING</v>
      </c>
      <c r="W11" s="22" t="str">
        <f t="shared" si="1"/>
        <v>clothing</v>
      </c>
      <c r="X11" s="22" t="str">
        <f t="shared" si="2"/>
        <v>Clothing</v>
      </c>
      <c r="AA11" t="s">
        <v>110</v>
      </c>
      <c r="AB11" t="str">
        <f t="shared" si="3"/>
        <v>Electronics and Tablet</v>
      </c>
    </row>
    <row r="12" spans="1:28" ht="19.5" thickTop="1" thickBot="1" x14ac:dyDescent="0.3">
      <c r="A12" s="17" t="s">
        <v>9</v>
      </c>
      <c r="B12" s="17" t="s">
        <v>16</v>
      </c>
      <c r="C12" s="18">
        <v>45677</v>
      </c>
      <c r="D12" s="16">
        <v>2000</v>
      </c>
      <c r="E12" s="16">
        <v>3</v>
      </c>
      <c r="F12" s="17">
        <v>6000</v>
      </c>
      <c r="G12" s="17">
        <v>1200</v>
      </c>
      <c r="H12" s="19" t="s">
        <v>39</v>
      </c>
      <c r="J12" t="s">
        <v>54</v>
      </c>
      <c r="K12" s="29" t="s">
        <v>9</v>
      </c>
      <c r="L12" s="30" t="s">
        <v>16</v>
      </c>
      <c r="M12" s="30">
        <v>45677</v>
      </c>
      <c r="N12" s="31">
        <v>2000</v>
      </c>
      <c r="O12" s="31">
        <v>3</v>
      </c>
      <c r="P12" s="31">
        <v>6000</v>
      </c>
      <c r="Q12" s="31">
        <v>1200</v>
      </c>
      <c r="T12" s="21" t="s">
        <v>82</v>
      </c>
      <c r="V12" s="22" t="str">
        <f t="shared" si="0"/>
        <v>GROCERY</v>
      </c>
      <c r="W12" s="22" t="str">
        <f t="shared" si="1"/>
        <v>grocery</v>
      </c>
      <c r="X12" s="22" t="str">
        <f t="shared" si="2"/>
        <v>Grocery</v>
      </c>
      <c r="AA12" t="s">
        <v>112</v>
      </c>
      <c r="AB12" t="str">
        <f t="shared" si="3"/>
        <v>Clothing Jeans</v>
      </c>
    </row>
    <row r="13" spans="1:28" ht="19.5" thickTop="1" thickBot="1" x14ac:dyDescent="0.3">
      <c r="A13" s="17" t="s">
        <v>11</v>
      </c>
      <c r="B13" s="17" t="s">
        <v>17</v>
      </c>
      <c r="C13" s="18">
        <v>45680</v>
      </c>
      <c r="D13" s="16">
        <v>150</v>
      </c>
      <c r="E13" s="16">
        <v>20</v>
      </c>
      <c r="F13" s="17">
        <v>3000</v>
      </c>
      <c r="G13" s="17">
        <v>600</v>
      </c>
      <c r="H13" s="19" t="s">
        <v>40</v>
      </c>
      <c r="J13" t="s">
        <v>55</v>
      </c>
      <c r="K13" s="29" t="s">
        <v>11</v>
      </c>
      <c r="L13" s="30" t="s">
        <v>17</v>
      </c>
      <c r="M13" s="30">
        <v>45680</v>
      </c>
      <c r="N13" s="31">
        <v>150</v>
      </c>
      <c r="O13" s="31">
        <v>20</v>
      </c>
      <c r="P13" s="31">
        <v>3000</v>
      </c>
      <c r="Q13" s="31">
        <v>600</v>
      </c>
      <c r="T13" s="21" t="s">
        <v>83</v>
      </c>
      <c r="V13" s="22" t="str">
        <f t="shared" si="0"/>
        <v>FURNITURE</v>
      </c>
      <c r="W13" s="22" t="str">
        <f t="shared" si="1"/>
        <v>furniture</v>
      </c>
      <c r="X13" s="22" t="str">
        <f t="shared" si="2"/>
        <v>Furniture</v>
      </c>
      <c r="AA13" t="s">
        <v>111</v>
      </c>
      <c r="AB13" t="str">
        <f t="shared" si="3"/>
        <v>Grocery Oil</v>
      </c>
    </row>
    <row r="14" spans="1:28" ht="19.5" thickTop="1" thickBot="1" x14ac:dyDescent="0.3">
      <c r="A14" s="17" t="s">
        <v>13</v>
      </c>
      <c r="B14" s="17" t="s">
        <v>18</v>
      </c>
      <c r="C14" s="18">
        <v>45682</v>
      </c>
      <c r="D14" s="16">
        <v>6000</v>
      </c>
      <c r="E14" s="16">
        <v>2</v>
      </c>
      <c r="F14" s="17">
        <v>12000</v>
      </c>
      <c r="G14" s="17">
        <v>2400</v>
      </c>
      <c r="H14" s="19" t="s">
        <v>41</v>
      </c>
      <c r="J14" t="s">
        <v>56</v>
      </c>
      <c r="K14" s="29" t="s">
        <v>13</v>
      </c>
      <c r="L14" s="30" t="s">
        <v>18</v>
      </c>
      <c r="M14" s="30">
        <v>45682</v>
      </c>
      <c r="N14" s="31">
        <v>6000</v>
      </c>
      <c r="O14" s="31">
        <v>2</v>
      </c>
      <c r="P14" s="31">
        <v>12000</v>
      </c>
      <c r="Q14" s="31">
        <v>2400</v>
      </c>
      <c r="T14" s="21" t="s">
        <v>81</v>
      </c>
      <c r="V14" s="22" t="str">
        <f t="shared" si="0"/>
        <v>ELECTRONICS</v>
      </c>
      <c r="W14" s="22" t="str">
        <f t="shared" si="1"/>
        <v>electronics</v>
      </c>
      <c r="X14" s="22" t="str">
        <f t="shared" si="2"/>
        <v>Electronics</v>
      </c>
      <c r="AA14" t="s">
        <v>113</v>
      </c>
      <c r="AB14" t="str">
        <f t="shared" si="3"/>
        <v>Furniture Table</v>
      </c>
    </row>
    <row r="15" spans="1:28" ht="30" thickTop="1" thickBot="1" x14ac:dyDescent="0.3">
      <c r="A15" s="17" t="s">
        <v>6</v>
      </c>
      <c r="B15" s="17" t="s">
        <v>19</v>
      </c>
      <c r="C15" s="18">
        <v>45685</v>
      </c>
      <c r="D15" s="16">
        <v>3000</v>
      </c>
      <c r="E15" s="16">
        <v>4</v>
      </c>
      <c r="F15" s="17">
        <v>12000</v>
      </c>
      <c r="G15" s="17">
        <v>2400</v>
      </c>
      <c r="H15" s="19" t="s">
        <v>42</v>
      </c>
      <c r="J15" t="s">
        <v>57</v>
      </c>
      <c r="K15" s="29" t="s">
        <v>6</v>
      </c>
      <c r="L15" s="30" t="s">
        <v>19</v>
      </c>
      <c r="M15" s="30">
        <v>45685</v>
      </c>
      <c r="N15" s="31">
        <v>3000</v>
      </c>
      <c r="O15" s="31">
        <v>4</v>
      </c>
      <c r="P15" s="31">
        <v>12000</v>
      </c>
      <c r="Q15" s="31">
        <v>2400</v>
      </c>
      <c r="T15" s="21" t="s">
        <v>44</v>
      </c>
      <c r="V15" s="22" t="str">
        <f t="shared" si="0"/>
        <v>CLOTHING</v>
      </c>
      <c r="W15" s="22" t="str">
        <f t="shared" si="1"/>
        <v>clothing</v>
      </c>
      <c r="X15" s="22" t="str">
        <f t="shared" si="2"/>
        <v>Clothing</v>
      </c>
      <c r="AA15" t="s">
        <v>114</v>
      </c>
      <c r="AB15" t="str">
        <f t="shared" si="3"/>
        <v>Electronics Headphones</v>
      </c>
    </row>
    <row r="16" spans="1:28" ht="19.5" thickTop="1" thickBot="1" x14ac:dyDescent="0.3">
      <c r="A16" s="17" t="s">
        <v>9</v>
      </c>
      <c r="B16" s="17" t="s">
        <v>20</v>
      </c>
      <c r="C16" s="18">
        <v>45690</v>
      </c>
      <c r="D16" s="16">
        <v>3500</v>
      </c>
      <c r="E16" s="16">
        <v>2</v>
      </c>
      <c r="F16" s="17">
        <v>7000</v>
      </c>
      <c r="G16" s="17">
        <v>1400</v>
      </c>
      <c r="H16" s="19" t="s">
        <v>38</v>
      </c>
      <c r="J16" t="s">
        <v>58</v>
      </c>
      <c r="K16" s="29" t="s">
        <v>9</v>
      </c>
      <c r="L16" s="30" t="s">
        <v>20</v>
      </c>
      <c r="M16" s="30">
        <v>45690</v>
      </c>
      <c r="N16" s="31">
        <v>3500</v>
      </c>
      <c r="O16" s="31">
        <v>2</v>
      </c>
      <c r="P16" s="31">
        <v>7000</v>
      </c>
      <c r="Q16" s="31">
        <v>1400</v>
      </c>
      <c r="T16" s="21" t="s">
        <v>82</v>
      </c>
      <c r="V16" s="22" t="str">
        <f t="shared" si="0"/>
        <v>GROCERY</v>
      </c>
      <c r="W16" s="22" t="str">
        <f t="shared" si="1"/>
        <v>grocery</v>
      </c>
      <c r="X16" s="22" t="str">
        <f t="shared" si="2"/>
        <v>Grocery</v>
      </c>
      <c r="AA16" t="s">
        <v>101</v>
      </c>
      <c r="AB16" t="str">
        <f t="shared" si="3"/>
        <v>Clothing Jacket</v>
      </c>
    </row>
    <row r="17" spans="1:28" ht="19.5" thickTop="1" thickBot="1" x14ac:dyDescent="0.3">
      <c r="A17" s="17" t="s">
        <v>11</v>
      </c>
      <c r="B17" s="17" t="s">
        <v>21</v>
      </c>
      <c r="C17" s="18">
        <v>45693</v>
      </c>
      <c r="D17" s="16">
        <v>45</v>
      </c>
      <c r="E17" s="16">
        <v>60</v>
      </c>
      <c r="F17" s="17">
        <v>2700</v>
      </c>
      <c r="G17" s="17">
        <v>540</v>
      </c>
      <c r="H17" s="19" t="s">
        <v>39</v>
      </c>
      <c r="J17" t="s">
        <v>59</v>
      </c>
      <c r="K17" s="29" t="s">
        <v>11</v>
      </c>
      <c r="L17" s="30" t="s">
        <v>21</v>
      </c>
      <c r="M17" s="30">
        <v>45693</v>
      </c>
      <c r="N17" s="31">
        <v>45</v>
      </c>
      <c r="O17" s="31">
        <v>60</v>
      </c>
      <c r="P17" s="31">
        <v>2700</v>
      </c>
      <c r="Q17" s="31">
        <v>540</v>
      </c>
      <c r="T17" s="21" t="s">
        <v>83</v>
      </c>
      <c r="V17" s="22" t="str">
        <f t="shared" si="0"/>
        <v>FURNITURE</v>
      </c>
      <c r="W17" s="22" t="str">
        <f t="shared" si="1"/>
        <v>furniture</v>
      </c>
      <c r="X17" s="22" t="str">
        <f t="shared" si="2"/>
        <v>Furniture</v>
      </c>
      <c r="AA17" t="s">
        <v>102</v>
      </c>
      <c r="AB17" t="str">
        <f t="shared" si="3"/>
        <v>Grocery Sugar</v>
      </c>
    </row>
    <row r="18" spans="1:28" ht="19.5" thickTop="1" thickBot="1" x14ac:dyDescent="0.3">
      <c r="A18" s="17" t="s">
        <v>13</v>
      </c>
      <c r="B18" s="17" t="s">
        <v>22</v>
      </c>
      <c r="C18" s="18">
        <v>45696</v>
      </c>
      <c r="D18" s="16">
        <v>20000</v>
      </c>
      <c r="E18" s="16">
        <v>1</v>
      </c>
      <c r="F18" s="17">
        <v>20000</v>
      </c>
      <c r="G18" s="17">
        <v>4000</v>
      </c>
      <c r="H18" s="19" t="s">
        <v>40</v>
      </c>
      <c r="J18" t="s">
        <v>60</v>
      </c>
      <c r="K18" s="29" t="s">
        <v>13</v>
      </c>
      <c r="L18" s="30" t="s">
        <v>22</v>
      </c>
      <c r="M18" s="30">
        <v>45696</v>
      </c>
      <c r="N18" s="31">
        <v>20000</v>
      </c>
      <c r="O18" s="31">
        <v>1</v>
      </c>
      <c r="P18" s="31">
        <v>20000</v>
      </c>
      <c r="Q18" s="31">
        <v>4000</v>
      </c>
      <c r="T18" s="21" t="s">
        <v>81</v>
      </c>
      <c r="V18" s="22" t="str">
        <f t="shared" si="0"/>
        <v>ELECTRONICS</v>
      </c>
      <c r="W18" s="22" t="str">
        <f t="shared" si="1"/>
        <v>electronics</v>
      </c>
      <c r="X18" s="22" t="str">
        <f t="shared" si="2"/>
        <v>Electronics</v>
      </c>
      <c r="AA18" t="s">
        <v>115</v>
      </c>
      <c r="AB18" t="str">
        <f t="shared" si="3"/>
        <v>Furniture Sofa</v>
      </c>
    </row>
    <row r="19" spans="1:28" ht="19.5" thickTop="1" thickBot="1" x14ac:dyDescent="0.3">
      <c r="A19" s="17" t="s">
        <v>6</v>
      </c>
      <c r="B19" s="17" t="s">
        <v>7</v>
      </c>
      <c r="C19" s="18">
        <v>45700</v>
      </c>
      <c r="D19" s="16">
        <v>58000</v>
      </c>
      <c r="E19" s="16">
        <v>1</v>
      </c>
      <c r="F19" s="17">
        <v>58000</v>
      </c>
      <c r="G19" s="17">
        <v>11600</v>
      </c>
      <c r="H19" s="19" t="s">
        <v>41</v>
      </c>
      <c r="J19" t="s">
        <v>61</v>
      </c>
      <c r="K19" s="29" t="s">
        <v>6</v>
      </c>
      <c r="L19" s="30" t="s">
        <v>7</v>
      </c>
      <c r="M19" s="30">
        <v>45700</v>
      </c>
      <c r="N19" s="31">
        <v>58000</v>
      </c>
      <c r="O19" s="31">
        <v>1</v>
      </c>
      <c r="P19" s="31">
        <v>58000</v>
      </c>
      <c r="Q19" s="31">
        <v>11600</v>
      </c>
      <c r="T19" s="21" t="s">
        <v>44</v>
      </c>
      <c r="V19" s="22" t="str">
        <f t="shared" si="0"/>
        <v>CLOTHING</v>
      </c>
      <c r="W19" s="22" t="str">
        <f t="shared" si="1"/>
        <v>clothing</v>
      </c>
      <c r="X19" s="22" t="str">
        <f t="shared" si="2"/>
        <v>Clothing</v>
      </c>
      <c r="AA19" t="s">
        <v>116</v>
      </c>
      <c r="AB19" t="str">
        <f t="shared" si="3"/>
        <v>Electronics Laptop</v>
      </c>
    </row>
    <row r="20" spans="1:28" ht="19.5" thickTop="1" thickBot="1" x14ac:dyDescent="0.3">
      <c r="A20" s="17" t="s">
        <v>9</v>
      </c>
      <c r="B20" s="17" t="s">
        <v>23</v>
      </c>
      <c r="C20" s="18">
        <v>45703</v>
      </c>
      <c r="D20" s="16">
        <v>700</v>
      </c>
      <c r="E20" s="16">
        <v>6</v>
      </c>
      <c r="F20" s="17">
        <v>4200</v>
      </c>
      <c r="G20" s="17">
        <v>840</v>
      </c>
      <c r="H20" s="19" t="s">
        <v>42</v>
      </c>
      <c r="J20" t="s">
        <v>62</v>
      </c>
      <c r="K20" s="29" t="s">
        <v>9</v>
      </c>
      <c r="L20" s="30" t="s">
        <v>23</v>
      </c>
      <c r="M20" s="30">
        <v>45703</v>
      </c>
      <c r="N20" s="31">
        <v>700</v>
      </c>
      <c r="O20" s="31">
        <v>6</v>
      </c>
      <c r="P20" s="31">
        <v>4200</v>
      </c>
      <c r="Q20" s="31">
        <v>840</v>
      </c>
      <c r="T20" s="21" t="s">
        <v>82</v>
      </c>
      <c r="V20" s="22" t="str">
        <f t="shared" si="0"/>
        <v>GROCERY</v>
      </c>
      <c r="W20" s="22" t="str">
        <f t="shared" si="1"/>
        <v>grocery</v>
      </c>
      <c r="X20" s="22" t="str">
        <f t="shared" si="2"/>
        <v>Grocery</v>
      </c>
      <c r="AA20" t="s">
        <v>117</v>
      </c>
      <c r="AB20" t="str">
        <f t="shared" si="3"/>
        <v>Clothing T-shirt</v>
      </c>
    </row>
    <row r="21" spans="1:28" ht="19.5" thickTop="1" thickBot="1" x14ac:dyDescent="0.3">
      <c r="A21" s="17" t="s">
        <v>11</v>
      </c>
      <c r="B21" s="17" t="s">
        <v>24</v>
      </c>
      <c r="C21" s="18">
        <v>45706</v>
      </c>
      <c r="D21" s="16">
        <v>60</v>
      </c>
      <c r="E21" s="16">
        <v>40</v>
      </c>
      <c r="F21" s="17">
        <v>2400</v>
      </c>
      <c r="G21" s="17">
        <v>480</v>
      </c>
      <c r="H21" s="19" t="s">
        <v>38</v>
      </c>
      <c r="J21" t="s">
        <v>63</v>
      </c>
      <c r="K21" s="29" t="s">
        <v>11</v>
      </c>
      <c r="L21" s="30" t="s">
        <v>24</v>
      </c>
      <c r="M21" s="30">
        <v>45706</v>
      </c>
      <c r="N21" s="31">
        <v>60</v>
      </c>
      <c r="O21" s="31">
        <v>40</v>
      </c>
      <c r="P21" s="31">
        <v>2400</v>
      </c>
      <c r="Q21" s="31">
        <v>480</v>
      </c>
      <c r="T21" s="21" t="s">
        <v>83</v>
      </c>
      <c r="V21" s="22" t="str">
        <f t="shared" si="0"/>
        <v>FURNITURE</v>
      </c>
      <c r="W21" s="22" t="str">
        <f t="shared" si="1"/>
        <v>furniture</v>
      </c>
      <c r="X21" s="22" t="str">
        <f t="shared" si="2"/>
        <v>Furniture</v>
      </c>
      <c r="AA21" t="s">
        <v>105</v>
      </c>
      <c r="AB21" t="str">
        <f t="shared" si="3"/>
        <v>Grocery Wheat</v>
      </c>
    </row>
    <row r="22" spans="1:28" ht="19.5" thickTop="1" thickBot="1" x14ac:dyDescent="0.3">
      <c r="A22" s="17" t="s">
        <v>13</v>
      </c>
      <c r="B22" s="17" t="s">
        <v>25</v>
      </c>
      <c r="C22" s="18">
        <v>45709</v>
      </c>
      <c r="D22" s="16">
        <v>30000</v>
      </c>
      <c r="E22" s="16">
        <v>1</v>
      </c>
      <c r="F22" s="17">
        <v>30000</v>
      </c>
      <c r="G22" s="17">
        <v>6000</v>
      </c>
      <c r="H22" s="19" t="s">
        <v>39</v>
      </c>
      <c r="J22" t="s">
        <v>64</v>
      </c>
      <c r="K22" s="29" t="s">
        <v>13</v>
      </c>
      <c r="L22" s="30" t="s">
        <v>25</v>
      </c>
      <c r="M22" s="30">
        <v>45709</v>
      </c>
      <c r="N22" s="31">
        <v>30000</v>
      </c>
      <c r="O22" s="31">
        <v>1</v>
      </c>
      <c r="P22" s="31">
        <v>30000</v>
      </c>
      <c r="Q22" s="31">
        <v>6000</v>
      </c>
      <c r="T22" s="21" t="s">
        <v>81</v>
      </c>
      <c r="V22" s="22" t="str">
        <f t="shared" si="0"/>
        <v>ELECTRONICS</v>
      </c>
      <c r="W22" s="22" t="str">
        <f t="shared" si="1"/>
        <v>electronics</v>
      </c>
      <c r="X22" s="22" t="str">
        <f t="shared" si="2"/>
        <v>Electronics</v>
      </c>
      <c r="AA22" t="s">
        <v>118</v>
      </c>
      <c r="AB22" t="str">
        <f t="shared" si="3"/>
        <v>Furniture Bed</v>
      </c>
    </row>
    <row r="23" spans="1:28" ht="19.5" thickTop="1" thickBot="1" x14ac:dyDescent="0.3">
      <c r="A23" s="17" t="s">
        <v>6</v>
      </c>
      <c r="B23" s="17" t="s">
        <v>8</v>
      </c>
      <c r="C23" s="18">
        <v>45713</v>
      </c>
      <c r="D23" s="16">
        <v>22000</v>
      </c>
      <c r="E23" s="16">
        <v>2</v>
      </c>
      <c r="F23" s="17">
        <v>44000</v>
      </c>
      <c r="G23" s="17">
        <v>8800</v>
      </c>
      <c r="H23" s="19" t="s">
        <v>40</v>
      </c>
      <c r="J23" t="s">
        <v>65</v>
      </c>
      <c r="K23" s="29" t="s">
        <v>6</v>
      </c>
      <c r="L23" s="30" t="s">
        <v>8</v>
      </c>
      <c r="M23" s="30">
        <v>45713</v>
      </c>
      <c r="N23" s="31">
        <v>22000</v>
      </c>
      <c r="O23" s="31">
        <v>2</v>
      </c>
      <c r="P23" s="31">
        <v>44000</v>
      </c>
      <c r="Q23" s="31">
        <v>8800</v>
      </c>
      <c r="T23" s="21" t="s">
        <v>44</v>
      </c>
      <c r="V23" s="22" t="str">
        <f t="shared" si="0"/>
        <v>CLOTHING</v>
      </c>
      <c r="W23" s="22" t="str">
        <f t="shared" si="1"/>
        <v>clothing</v>
      </c>
      <c r="X23" s="22" t="str">
        <f t="shared" si="2"/>
        <v>Clothing</v>
      </c>
      <c r="AA23" t="s">
        <v>92</v>
      </c>
      <c r="AB23" t="str">
        <f t="shared" si="3"/>
        <v>Electronics Mobile</v>
      </c>
    </row>
    <row r="24" spans="1:28" ht="19.5" thickTop="1" thickBot="1" x14ac:dyDescent="0.3">
      <c r="A24" s="17" t="s">
        <v>9</v>
      </c>
      <c r="B24" s="17" t="s">
        <v>10</v>
      </c>
      <c r="C24" s="18">
        <v>45716</v>
      </c>
      <c r="D24" s="16">
        <v>1300</v>
      </c>
      <c r="E24" s="16">
        <v>4</v>
      </c>
      <c r="F24" s="17">
        <v>5200</v>
      </c>
      <c r="G24" s="17">
        <v>1040</v>
      </c>
      <c r="H24" s="19" t="s">
        <v>41</v>
      </c>
      <c r="J24" t="s">
        <v>66</v>
      </c>
      <c r="K24" s="29" t="s">
        <v>9</v>
      </c>
      <c r="L24" s="30" t="s">
        <v>10</v>
      </c>
      <c r="M24" s="30">
        <v>45716</v>
      </c>
      <c r="N24" s="31">
        <v>1300</v>
      </c>
      <c r="O24" s="31">
        <v>4</v>
      </c>
      <c r="P24" s="31">
        <v>5200</v>
      </c>
      <c r="Q24" s="31">
        <v>1040</v>
      </c>
      <c r="T24" s="21" t="s">
        <v>82</v>
      </c>
      <c r="V24" s="22" t="str">
        <f t="shared" si="0"/>
        <v>GROCERY</v>
      </c>
      <c r="W24" s="22" t="str">
        <f t="shared" si="1"/>
        <v>grocery</v>
      </c>
      <c r="X24" s="22" t="str">
        <f t="shared" si="2"/>
        <v>Grocery</v>
      </c>
      <c r="AA24" t="s">
        <v>119</v>
      </c>
      <c r="AB24" t="str">
        <f t="shared" si="3"/>
        <v>Clothing Shirt</v>
      </c>
    </row>
    <row r="25" spans="1:28" ht="19.5" thickTop="1" thickBot="1" x14ac:dyDescent="0.3">
      <c r="A25" s="17" t="s">
        <v>11</v>
      </c>
      <c r="B25" s="17" t="s">
        <v>12</v>
      </c>
      <c r="C25" s="18">
        <v>45719</v>
      </c>
      <c r="D25" s="16">
        <v>85</v>
      </c>
      <c r="E25" s="16">
        <v>45</v>
      </c>
      <c r="F25" s="17">
        <v>3825</v>
      </c>
      <c r="G25" s="17">
        <v>765</v>
      </c>
      <c r="H25" s="19" t="s">
        <v>42</v>
      </c>
      <c r="J25" t="s">
        <v>67</v>
      </c>
      <c r="K25" s="29" t="s">
        <v>11</v>
      </c>
      <c r="L25" s="30" t="s">
        <v>12</v>
      </c>
      <c r="M25" s="30">
        <v>45719</v>
      </c>
      <c r="N25" s="31">
        <v>85</v>
      </c>
      <c r="O25" s="31">
        <v>45</v>
      </c>
      <c r="P25" s="31">
        <v>3825</v>
      </c>
      <c r="Q25" s="31">
        <v>765</v>
      </c>
      <c r="T25" s="21" t="s">
        <v>81</v>
      </c>
      <c r="V25" s="22" t="str">
        <f t="shared" si="0"/>
        <v>ELECTRONICS</v>
      </c>
      <c r="W25" s="22" t="str">
        <f t="shared" si="1"/>
        <v>electronics</v>
      </c>
      <c r="X25" s="22" t="str">
        <f t="shared" si="2"/>
        <v>Electronics</v>
      </c>
      <c r="AA25" t="s">
        <v>94</v>
      </c>
      <c r="AB25" t="str">
        <f t="shared" si="3"/>
        <v>Grocery Rice</v>
      </c>
    </row>
    <row r="26" spans="1:28" ht="19.5" thickTop="1" thickBot="1" x14ac:dyDescent="0.3">
      <c r="A26" s="17" t="s">
        <v>6</v>
      </c>
      <c r="B26" s="17" t="s">
        <v>7</v>
      </c>
      <c r="C26" s="18">
        <v>45721</v>
      </c>
      <c r="D26" s="16">
        <v>56000</v>
      </c>
      <c r="E26" s="16">
        <v>1</v>
      </c>
      <c r="F26" s="17">
        <v>56000</v>
      </c>
      <c r="G26" s="17">
        <v>11200</v>
      </c>
      <c r="H26" s="19" t="s">
        <v>38</v>
      </c>
      <c r="J26" t="s">
        <v>68</v>
      </c>
      <c r="K26" s="29" t="s">
        <v>6</v>
      </c>
      <c r="L26" s="30" t="s">
        <v>7</v>
      </c>
      <c r="M26" s="30">
        <v>45721</v>
      </c>
      <c r="N26" s="31">
        <v>56000</v>
      </c>
      <c r="O26" s="31">
        <v>1</v>
      </c>
      <c r="P26" s="31">
        <v>56000</v>
      </c>
      <c r="Q26" s="31">
        <v>11200</v>
      </c>
      <c r="T26" s="21" t="s">
        <v>81</v>
      </c>
      <c r="V26" s="22" t="str">
        <f t="shared" si="0"/>
        <v>ELECTRONICS</v>
      </c>
      <c r="W26" s="22" t="str">
        <f t="shared" si="1"/>
        <v>electronics</v>
      </c>
      <c r="X26" s="22" t="str">
        <f t="shared" si="2"/>
        <v>Electronics</v>
      </c>
      <c r="AA26" t="s">
        <v>116</v>
      </c>
      <c r="AB26" t="str">
        <f t="shared" si="3"/>
        <v>Electronics Laptop</v>
      </c>
    </row>
    <row r="27" spans="1:28" ht="19.5" thickTop="1" thickBot="1" x14ac:dyDescent="0.3">
      <c r="A27" s="17" t="s">
        <v>6</v>
      </c>
      <c r="B27" s="17" t="s">
        <v>8</v>
      </c>
      <c r="C27" s="18">
        <v>45722</v>
      </c>
      <c r="D27" s="16">
        <v>21000</v>
      </c>
      <c r="E27" s="16">
        <v>2</v>
      </c>
      <c r="F27" s="17">
        <v>42000</v>
      </c>
      <c r="G27" s="17">
        <v>8400</v>
      </c>
      <c r="H27" s="19" t="s">
        <v>39</v>
      </c>
      <c r="J27" t="s">
        <v>69</v>
      </c>
      <c r="K27" s="29" t="s">
        <v>6</v>
      </c>
      <c r="L27" s="30" t="s">
        <v>8</v>
      </c>
      <c r="M27" s="30">
        <v>45722</v>
      </c>
      <c r="N27" s="31">
        <v>21000</v>
      </c>
      <c r="O27" s="31">
        <v>2</v>
      </c>
      <c r="P27" s="31">
        <v>42000</v>
      </c>
      <c r="Q27" s="31">
        <v>8400</v>
      </c>
      <c r="T27" s="21" t="s">
        <v>44</v>
      </c>
      <c r="V27" s="22" t="str">
        <f t="shared" si="0"/>
        <v>CLOTHING</v>
      </c>
      <c r="W27" s="22" t="str">
        <f t="shared" si="1"/>
        <v>clothing</v>
      </c>
      <c r="X27" s="22" t="str">
        <f t="shared" si="2"/>
        <v>Clothing</v>
      </c>
      <c r="AA27" t="s">
        <v>92</v>
      </c>
      <c r="AB27" t="str">
        <f t="shared" si="3"/>
        <v>Electronics Mobile</v>
      </c>
    </row>
    <row r="28" spans="1:28" ht="19.5" thickTop="1" thickBot="1" x14ac:dyDescent="0.3">
      <c r="A28" s="17" t="s">
        <v>9</v>
      </c>
      <c r="B28" s="17" t="s">
        <v>10</v>
      </c>
      <c r="C28" s="18">
        <v>45723</v>
      </c>
      <c r="D28" s="16">
        <v>1300</v>
      </c>
      <c r="E28" s="16">
        <v>4</v>
      </c>
      <c r="F28" s="17">
        <v>5200</v>
      </c>
      <c r="G28" s="17">
        <v>1040</v>
      </c>
      <c r="H28" s="19" t="s">
        <v>40</v>
      </c>
      <c r="J28" t="s">
        <v>70</v>
      </c>
      <c r="K28" s="29" t="s">
        <v>9</v>
      </c>
      <c r="L28" s="30" t="s">
        <v>10</v>
      </c>
      <c r="M28" s="30">
        <v>45723</v>
      </c>
      <c r="N28" s="31">
        <v>1300</v>
      </c>
      <c r="O28" s="31">
        <v>4</v>
      </c>
      <c r="P28" s="31">
        <v>5200</v>
      </c>
      <c r="Q28" s="31">
        <v>1040</v>
      </c>
      <c r="T28" s="21" t="s">
        <v>82</v>
      </c>
      <c r="V28" s="22" t="str">
        <f t="shared" si="0"/>
        <v>GROCERY</v>
      </c>
      <c r="W28" s="22" t="str">
        <f t="shared" si="1"/>
        <v>grocery</v>
      </c>
      <c r="X28" s="22" t="str">
        <f t="shared" si="2"/>
        <v>Grocery</v>
      </c>
      <c r="AA28" t="s">
        <v>93</v>
      </c>
      <c r="AB28" t="str">
        <f t="shared" si="3"/>
        <v>Clothing Shirt</v>
      </c>
    </row>
    <row r="29" spans="1:28" ht="19.5" thickTop="1" thickBot="1" x14ac:dyDescent="0.3">
      <c r="A29" s="17" t="s">
        <v>11</v>
      </c>
      <c r="B29" s="17" t="s">
        <v>12</v>
      </c>
      <c r="C29" s="18">
        <v>45724</v>
      </c>
      <c r="D29" s="16">
        <v>85</v>
      </c>
      <c r="E29" s="16">
        <v>40</v>
      </c>
      <c r="F29" s="17">
        <v>3400</v>
      </c>
      <c r="G29" s="17">
        <v>680</v>
      </c>
      <c r="H29" s="19" t="s">
        <v>41</v>
      </c>
      <c r="J29" t="s">
        <v>71</v>
      </c>
      <c r="K29" s="29" t="s">
        <v>11</v>
      </c>
      <c r="L29" s="30" t="s">
        <v>12</v>
      </c>
      <c r="M29" s="30">
        <v>45724</v>
      </c>
      <c r="N29" s="31">
        <v>85</v>
      </c>
      <c r="O29" s="31">
        <v>40</v>
      </c>
      <c r="P29" s="31">
        <v>3400</v>
      </c>
      <c r="Q29" s="31">
        <v>680</v>
      </c>
      <c r="T29" s="21" t="s">
        <v>83</v>
      </c>
      <c r="V29" s="22" t="str">
        <f t="shared" si="0"/>
        <v>FURNITURE</v>
      </c>
      <c r="W29" s="22" t="str">
        <f t="shared" si="1"/>
        <v>furniture</v>
      </c>
      <c r="X29" s="22" t="str">
        <f t="shared" si="2"/>
        <v>Furniture</v>
      </c>
      <c r="AA29" t="s">
        <v>94</v>
      </c>
      <c r="AB29" t="str">
        <f t="shared" si="3"/>
        <v>Grocery Rice</v>
      </c>
    </row>
    <row r="30" spans="1:28" ht="19.5" thickTop="1" thickBot="1" x14ac:dyDescent="0.3">
      <c r="A30" s="17" t="s">
        <v>13</v>
      </c>
      <c r="B30" s="17" t="s">
        <v>14</v>
      </c>
      <c r="C30" s="18">
        <v>45725</v>
      </c>
      <c r="D30" s="16">
        <v>2600</v>
      </c>
      <c r="E30" s="16">
        <v>3</v>
      </c>
      <c r="F30" s="17">
        <v>7800</v>
      </c>
      <c r="G30" s="17">
        <v>1560</v>
      </c>
      <c r="H30" s="19" t="s">
        <v>42</v>
      </c>
      <c r="J30" t="s">
        <v>72</v>
      </c>
      <c r="K30" s="29" t="s">
        <v>13</v>
      </c>
      <c r="L30" s="30" t="s">
        <v>14</v>
      </c>
      <c r="M30" s="30">
        <v>45725</v>
      </c>
      <c r="N30" s="31">
        <v>2600</v>
      </c>
      <c r="O30" s="31">
        <v>3</v>
      </c>
      <c r="P30" s="31">
        <v>7800</v>
      </c>
      <c r="Q30" s="31">
        <v>1560</v>
      </c>
      <c r="T30" s="21" t="s">
        <v>81</v>
      </c>
      <c r="V30" s="22" t="str">
        <f t="shared" si="0"/>
        <v>ELECTRONICS</v>
      </c>
      <c r="W30" s="22" t="str">
        <f t="shared" si="1"/>
        <v>electronics</v>
      </c>
      <c r="X30" s="22" t="str">
        <f t="shared" si="2"/>
        <v>Electronics</v>
      </c>
      <c r="AA30" t="s">
        <v>95</v>
      </c>
      <c r="AB30" t="str">
        <f t="shared" si="3"/>
        <v>Furniture Chair</v>
      </c>
    </row>
    <row r="31" spans="1:28" ht="19.5" thickTop="1" thickBot="1" x14ac:dyDescent="0.3">
      <c r="A31" s="17" t="s">
        <v>6</v>
      </c>
      <c r="B31" s="17" t="s">
        <v>15</v>
      </c>
      <c r="C31" s="18">
        <v>45726</v>
      </c>
      <c r="D31" s="16">
        <v>17000</v>
      </c>
      <c r="E31" s="16">
        <v>2</v>
      </c>
      <c r="F31" s="17">
        <v>34000</v>
      </c>
      <c r="G31" s="17">
        <v>6800</v>
      </c>
      <c r="H31" s="19" t="s">
        <v>38</v>
      </c>
      <c r="J31" t="s">
        <v>73</v>
      </c>
      <c r="K31" s="29" t="s">
        <v>6</v>
      </c>
      <c r="L31" s="30" t="s">
        <v>15</v>
      </c>
      <c r="M31" s="30">
        <v>45726</v>
      </c>
      <c r="N31" s="31">
        <v>17000</v>
      </c>
      <c r="O31" s="31">
        <v>2</v>
      </c>
      <c r="P31" s="31">
        <v>34000</v>
      </c>
      <c r="Q31" s="31">
        <v>6800</v>
      </c>
      <c r="T31" s="21" t="s">
        <v>44</v>
      </c>
      <c r="V31" s="22" t="str">
        <f t="shared" si="0"/>
        <v>CLOTHING</v>
      </c>
      <c r="W31" s="22" t="str">
        <f t="shared" si="1"/>
        <v>clothing</v>
      </c>
      <c r="X31" s="22" t="str">
        <f t="shared" si="2"/>
        <v>Clothing</v>
      </c>
      <c r="AA31" t="s">
        <v>96</v>
      </c>
      <c r="AB31" t="str">
        <f t="shared" si="3"/>
        <v>Electronics Tablet</v>
      </c>
    </row>
    <row r="32" spans="1:28" ht="19.5" thickTop="1" thickBot="1" x14ac:dyDescent="0.3">
      <c r="A32" s="17" t="s">
        <v>9</v>
      </c>
      <c r="B32" s="17" t="s">
        <v>16</v>
      </c>
      <c r="C32" s="18">
        <v>45727</v>
      </c>
      <c r="D32" s="16">
        <v>2100</v>
      </c>
      <c r="E32" s="16">
        <v>2</v>
      </c>
      <c r="F32" s="17">
        <v>4200</v>
      </c>
      <c r="G32" s="17">
        <v>840</v>
      </c>
      <c r="H32" s="19" t="s">
        <v>39</v>
      </c>
      <c r="J32" t="s">
        <v>74</v>
      </c>
      <c r="K32" s="29" t="s">
        <v>9</v>
      </c>
      <c r="L32" s="30" t="s">
        <v>16</v>
      </c>
      <c r="M32" s="30">
        <v>45727</v>
      </c>
      <c r="N32" s="31">
        <v>2100</v>
      </c>
      <c r="O32" s="31">
        <v>2</v>
      </c>
      <c r="P32" s="31">
        <v>4200</v>
      </c>
      <c r="Q32" s="31">
        <v>840</v>
      </c>
      <c r="T32" s="21" t="s">
        <v>82</v>
      </c>
      <c r="V32" s="22" t="str">
        <f t="shared" si="0"/>
        <v>GROCERY</v>
      </c>
      <c r="W32" s="22" t="str">
        <f t="shared" si="1"/>
        <v>grocery</v>
      </c>
      <c r="X32" s="22" t="str">
        <f t="shared" si="2"/>
        <v>Grocery</v>
      </c>
      <c r="AA32" t="s">
        <v>97</v>
      </c>
      <c r="AB32" t="str">
        <f t="shared" si="3"/>
        <v>Clothing Jeans</v>
      </c>
    </row>
    <row r="33" spans="1:28" ht="19.5" thickTop="1" thickBot="1" x14ac:dyDescent="0.3">
      <c r="A33" s="17" t="s">
        <v>11</v>
      </c>
      <c r="B33" s="17" t="s">
        <v>21</v>
      </c>
      <c r="C33" s="18">
        <v>45728</v>
      </c>
      <c r="D33" s="16">
        <v>50</v>
      </c>
      <c r="E33" s="16">
        <v>60</v>
      </c>
      <c r="F33" s="17">
        <v>3000</v>
      </c>
      <c r="G33" s="17">
        <v>600</v>
      </c>
      <c r="H33" s="19" t="s">
        <v>40</v>
      </c>
      <c r="J33" t="s">
        <v>75</v>
      </c>
      <c r="K33" s="29" t="s">
        <v>11</v>
      </c>
      <c r="L33" s="30" t="s">
        <v>21</v>
      </c>
      <c r="M33" s="30">
        <v>45728</v>
      </c>
      <c r="N33" s="31">
        <v>50</v>
      </c>
      <c r="O33" s="31">
        <v>60</v>
      </c>
      <c r="P33" s="31">
        <v>3000</v>
      </c>
      <c r="Q33" s="31">
        <v>600</v>
      </c>
      <c r="T33" s="21" t="s">
        <v>83</v>
      </c>
      <c r="V33" s="22" t="str">
        <f t="shared" si="0"/>
        <v>FURNITURE</v>
      </c>
      <c r="W33" s="22" t="str">
        <f t="shared" si="1"/>
        <v>furniture</v>
      </c>
      <c r="X33" s="22" t="str">
        <f t="shared" si="2"/>
        <v>Furniture</v>
      </c>
      <c r="AA33" t="s">
        <v>102</v>
      </c>
      <c r="AB33" t="str">
        <f t="shared" si="3"/>
        <v>Grocery Sugar</v>
      </c>
    </row>
    <row r="34" spans="1:28" ht="19.5" thickTop="1" thickBot="1" x14ac:dyDescent="0.3">
      <c r="A34" s="17" t="s">
        <v>13</v>
      </c>
      <c r="B34" s="17" t="s">
        <v>18</v>
      </c>
      <c r="C34" s="18">
        <v>45729</v>
      </c>
      <c r="D34" s="16">
        <v>6500</v>
      </c>
      <c r="E34" s="16">
        <v>1</v>
      </c>
      <c r="F34" s="17">
        <v>6500</v>
      </c>
      <c r="G34" s="17">
        <v>1300</v>
      </c>
      <c r="H34" s="19" t="s">
        <v>41</v>
      </c>
      <c r="J34" t="s">
        <v>76</v>
      </c>
      <c r="K34" s="29" t="s">
        <v>13</v>
      </c>
      <c r="L34" s="30" t="s">
        <v>18</v>
      </c>
      <c r="M34" s="30">
        <v>45729</v>
      </c>
      <c r="N34" s="31">
        <v>6500</v>
      </c>
      <c r="O34" s="31">
        <v>1</v>
      </c>
      <c r="P34" s="31">
        <v>6500</v>
      </c>
      <c r="Q34" s="31">
        <v>1300</v>
      </c>
      <c r="T34" s="21" t="s">
        <v>81</v>
      </c>
      <c r="V34" s="22" t="str">
        <f t="shared" si="0"/>
        <v>ELECTRONICS</v>
      </c>
      <c r="W34" s="22" t="str">
        <f t="shared" si="1"/>
        <v>electronics</v>
      </c>
      <c r="X34" s="22" t="str">
        <f t="shared" si="2"/>
        <v>Electronics</v>
      </c>
      <c r="AA34" t="s">
        <v>99</v>
      </c>
      <c r="AB34" t="str">
        <f t="shared" si="3"/>
        <v>Furniture Table</v>
      </c>
    </row>
    <row r="35" spans="1:28" ht="30" thickTop="1" thickBot="1" x14ac:dyDescent="0.3">
      <c r="A35" s="17" t="s">
        <v>6</v>
      </c>
      <c r="B35" s="17" t="s">
        <v>19</v>
      </c>
      <c r="C35" s="18">
        <v>45730</v>
      </c>
      <c r="D35" s="16">
        <v>3200</v>
      </c>
      <c r="E35" s="16">
        <v>3</v>
      </c>
      <c r="F35" s="17">
        <v>9600</v>
      </c>
      <c r="G35" s="17">
        <v>1920</v>
      </c>
      <c r="H35" s="19" t="s">
        <v>42</v>
      </c>
      <c r="J35" t="s">
        <v>77</v>
      </c>
      <c r="K35" s="29" t="s">
        <v>6</v>
      </c>
      <c r="L35" s="30" t="s">
        <v>19</v>
      </c>
      <c r="M35" s="30">
        <v>45730</v>
      </c>
      <c r="N35" s="31">
        <v>3200</v>
      </c>
      <c r="O35" s="31">
        <v>3</v>
      </c>
      <c r="P35" s="31">
        <v>9600</v>
      </c>
      <c r="Q35" s="31">
        <v>1920</v>
      </c>
      <c r="T35" s="21" t="s">
        <v>44</v>
      </c>
      <c r="V35" s="22" t="str">
        <f t="shared" si="0"/>
        <v>CLOTHING</v>
      </c>
      <c r="W35" s="22" t="str">
        <f t="shared" si="1"/>
        <v>clothing</v>
      </c>
      <c r="X35" s="22" t="str">
        <f t="shared" si="2"/>
        <v>Clothing</v>
      </c>
      <c r="AA35" t="s">
        <v>100</v>
      </c>
      <c r="AB35" t="str">
        <f t="shared" si="3"/>
        <v>Electronics Headphones</v>
      </c>
    </row>
    <row r="36" spans="1:28" ht="19.5" thickTop="1" thickBot="1" x14ac:dyDescent="0.3">
      <c r="A36" s="17" t="s">
        <v>9</v>
      </c>
      <c r="B36" s="17" t="s">
        <v>20</v>
      </c>
      <c r="C36" s="18">
        <v>45731</v>
      </c>
      <c r="D36" s="16">
        <v>3600</v>
      </c>
      <c r="E36" s="16">
        <v>2</v>
      </c>
      <c r="F36" s="17">
        <v>7200</v>
      </c>
      <c r="G36" s="17">
        <v>1440</v>
      </c>
      <c r="H36" s="19" t="s">
        <v>38</v>
      </c>
      <c r="J36" t="s">
        <v>78</v>
      </c>
      <c r="K36" s="29" t="s">
        <v>9</v>
      </c>
      <c r="L36" s="30" t="s">
        <v>20</v>
      </c>
      <c r="M36" s="30">
        <v>45731</v>
      </c>
      <c r="N36" s="31">
        <v>3600</v>
      </c>
      <c r="O36" s="31">
        <v>2</v>
      </c>
      <c r="P36" s="31">
        <v>7200</v>
      </c>
      <c r="Q36" s="31">
        <v>1440</v>
      </c>
      <c r="T36" s="21" t="s">
        <v>82</v>
      </c>
      <c r="V36" s="22" t="str">
        <f t="shared" si="0"/>
        <v>GROCERY</v>
      </c>
      <c r="W36" s="22" t="str">
        <f t="shared" si="1"/>
        <v>grocery</v>
      </c>
      <c r="X36" s="22" t="str">
        <f t="shared" si="2"/>
        <v>Grocery</v>
      </c>
      <c r="AA36" t="s">
        <v>101</v>
      </c>
      <c r="AB36" t="str">
        <f t="shared" si="3"/>
        <v>Clothing Jacket</v>
      </c>
    </row>
    <row r="37" spans="1:28" ht="19.5" thickTop="1" thickBot="1" x14ac:dyDescent="0.3">
      <c r="A37" s="17" t="s">
        <v>11</v>
      </c>
      <c r="B37" s="17" t="s">
        <v>17</v>
      </c>
      <c r="C37" s="18">
        <v>45732</v>
      </c>
      <c r="D37" s="16">
        <v>155</v>
      </c>
      <c r="E37" s="16">
        <v>20</v>
      </c>
      <c r="F37" s="17">
        <v>3100</v>
      </c>
      <c r="G37" s="17">
        <v>620</v>
      </c>
      <c r="H37" s="19" t="s">
        <v>39</v>
      </c>
      <c r="J37" t="s">
        <v>79</v>
      </c>
      <c r="K37" s="29" t="s">
        <v>11</v>
      </c>
      <c r="L37" s="30" t="s">
        <v>17</v>
      </c>
      <c r="M37" s="30">
        <v>45732</v>
      </c>
      <c r="N37" s="31">
        <v>155</v>
      </c>
      <c r="O37" s="31">
        <v>20</v>
      </c>
      <c r="P37" s="31">
        <v>3100</v>
      </c>
      <c r="Q37" s="31">
        <v>620</v>
      </c>
      <c r="T37" s="21" t="s">
        <v>83</v>
      </c>
      <c r="V37" s="22" t="str">
        <f t="shared" si="0"/>
        <v>FURNITURE</v>
      </c>
      <c r="W37" s="22" t="str">
        <f t="shared" si="1"/>
        <v>furniture</v>
      </c>
      <c r="X37" s="22" t="str">
        <f t="shared" si="2"/>
        <v>Furniture</v>
      </c>
      <c r="AA37" t="s">
        <v>98</v>
      </c>
      <c r="AB37" t="str">
        <f t="shared" si="3"/>
        <v>Grocery Oil</v>
      </c>
    </row>
    <row r="38" spans="1:28" ht="19.5" thickTop="1" thickBot="1" x14ac:dyDescent="0.3">
      <c r="A38" s="17" t="s">
        <v>13</v>
      </c>
      <c r="B38" s="17" t="s">
        <v>22</v>
      </c>
      <c r="C38" s="18">
        <v>45733</v>
      </c>
      <c r="D38" s="16">
        <v>21000</v>
      </c>
      <c r="E38" s="16">
        <v>1</v>
      </c>
      <c r="F38" s="17">
        <v>21000</v>
      </c>
      <c r="G38" s="17">
        <v>4200</v>
      </c>
      <c r="H38" s="19" t="s">
        <v>40</v>
      </c>
      <c r="J38" t="s">
        <v>80</v>
      </c>
      <c r="K38" s="29" t="s">
        <v>13</v>
      </c>
      <c r="L38" s="30" t="s">
        <v>22</v>
      </c>
      <c r="M38" s="30">
        <v>45733</v>
      </c>
      <c r="N38" s="31">
        <v>21000</v>
      </c>
      <c r="O38" s="31">
        <v>1</v>
      </c>
      <c r="P38" s="31">
        <v>21000</v>
      </c>
      <c r="Q38" s="31">
        <v>4200</v>
      </c>
      <c r="T38" s="21" t="s">
        <v>81</v>
      </c>
      <c r="V38" s="22" t="str">
        <f t="shared" si="0"/>
        <v>ELECTRONICS</v>
      </c>
      <c r="W38" s="22" t="str">
        <f t="shared" si="1"/>
        <v>electronics</v>
      </c>
      <c r="X38" s="22" t="str">
        <f t="shared" si="2"/>
        <v>Electronics</v>
      </c>
      <c r="AA38" t="s">
        <v>103</v>
      </c>
      <c r="AB38" t="str">
        <f t="shared" si="3"/>
        <v>Furniture Sofa</v>
      </c>
    </row>
    <row r="39" spans="1:28" ht="19.5" thickTop="1" thickBot="1" x14ac:dyDescent="0.3">
      <c r="A39" s="17" t="s">
        <v>6</v>
      </c>
      <c r="B39" s="17" t="s">
        <v>7</v>
      </c>
      <c r="C39" s="18">
        <v>45734</v>
      </c>
      <c r="D39" s="16">
        <v>57000</v>
      </c>
      <c r="E39" s="16">
        <v>1</v>
      </c>
      <c r="F39" s="17">
        <v>57000</v>
      </c>
      <c r="G39" s="17">
        <v>11400</v>
      </c>
      <c r="H39" s="19" t="s">
        <v>41</v>
      </c>
      <c r="J39" t="s">
        <v>48</v>
      </c>
      <c r="K39" s="29" t="s">
        <v>6</v>
      </c>
      <c r="L39" s="30" t="s">
        <v>7</v>
      </c>
      <c r="M39" s="30">
        <v>45662</v>
      </c>
      <c r="N39" s="31">
        <v>55000</v>
      </c>
      <c r="O39" s="31">
        <v>2</v>
      </c>
      <c r="P39" s="31">
        <v>110000</v>
      </c>
      <c r="Q39" s="31">
        <v>22000</v>
      </c>
      <c r="T39" s="21" t="s">
        <v>44</v>
      </c>
      <c r="V39" s="22" t="str">
        <f t="shared" si="0"/>
        <v>CLOTHING</v>
      </c>
      <c r="W39" s="22" t="str">
        <f t="shared" si="1"/>
        <v>clothing</v>
      </c>
      <c r="X39" s="22" t="str">
        <f t="shared" si="2"/>
        <v>Clothing</v>
      </c>
      <c r="AA39" t="s">
        <v>91</v>
      </c>
      <c r="AB39" t="str">
        <f t="shared" si="3"/>
        <v>Electronics Laptop</v>
      </c>
    </row>
    <row r="40" spans="1:28" ht="19.5" thickTop="1" thickBot="1" x14ac:dyDescent="0.3">
      <c r="A40" s="17" t="s">
        <v>9</v>
      </c>
      <c r="B40" s="17" t="s">
        <v>23</v>
      </c>
      <c r="C40" s="18">
        <v>45735</v>
      </c>
      <c r="D40" s="16">
        <v>750</v>
      </c>
      <c r="E40" s="16">
        <v>5</v>
      </c>
      <c r="F40" s="17">
        <v>3750</v>
      </c>
      <c r="G40" s="17">
        <v>750</v>
      </c>
      <c r="H40" s="19" t="s">
        <v>42</v>
      </c>
      <c r="J40" t="s">
        <v>49</v>
      </c>
      <c r="K40" s="29" t="s">
        <v>6</v>
      </c>
      <c r="L40" s="30" t="s">
        <v>8</v>
      </c>
      <c r="M40" s="30">
        <v>45665</v>
      </c>
      <c r="N40" s="31">
        <v>20000</v>
      </c>
      <c r="O40" s="31">
        <v>3</v>
      </c>
      <c r="P40" s="31">
        <v>60000</v>
      </c>
      <c r="Q40" s="31">
        <v>12000</v>
      </c>
      <c r="T40" s="21" t="s">
        <v>82</v>
      </c>
      <c r="V40" s="22" t="str">
        <f t="shared" si="0"/>
        <v>GROCERY</v>
      </c>
      <c r="W40" s="22" t="str">
        <f t="shared" si="1"/>
        <v>grocery</v>
      </c>
      <c r="X40" s="22" t="str">
        <f t="shared" si="2"/>
        <v>Grocery</v>
      </c>
      <c r="AA40" t="s">
        <v>104</v>
      </c>
      <c r="AB40" t="str">
        <f t="shared" si="3"/>
        <v>Clothing T-shirt</v>
      </c>
    </row>
    <row r="41" spans="1:28" ht="19.5" thickTop="1" thickBot="1" x14ac:dyDescent="0.3">
      <c r="A41" s="17" t="s">
        <v>11</v>
      </c>
      <c r="B41" s="17" t="s">
        <v>24</v>
      </c>
      <c r="C41" s="18">
        <v>45736</v>
      </c>
      <c r="D41" s="16">
        <v>65</v>
      </c>
      <c r="E41" s="16">
        <v>40</v>
      </c>
      <c r="F41" s="17">
        <v>2600</v>
      </c>
      <c r="G41" s="17">
        <v>520</v>
      </c>
      <c r="H41" s="19" t="s">
        <v>38</v>
      </c>
      <c r="J41" t="s">
        <v>50</v>
      </c>
      <c r="K41" s="29" t="s">
        <v>9</v>
      </c>
      <c r="L41" s="30" t="s">
        <v>10</v>
      </c>
      <c r="M41" s="30">
        <v>45667</v>
      </c>
      <c r="N41" s="31">
        <v>1200</v>
      </c>
      <c r="O41" s="31">
        <v>5</v>
      </c>
      <c r="P41" s="31">
        <v>6000</v>
      </c>
      <c r="Q41" s="31">
        <v>1200</v>
      </c>
      <c r="T41" s="21" t="s">
        <v>83</v>
      </c>
      <c r="V41" s="22" t="str">
        <f t="shared" si="0"/>
        <v>FURNITURE</v>
      </c>
      <c r="W41" s="22" t="str">
        <f t="shared" si="1"/>
        <v>furniture</v>
      </c>
      <c r="X41" s="22" t="str">
        <f t="shared" si="2"/>
        <v>Furniture</v>
      </c>
      <c r="AA41" t="s">
        <v>105</v>
      </c>
      <c r="AB41" t="str">
        <f t="shared" si="3"/>
        <v>Grocery Wheat</v>
      </c>
    </row>
    <row r="42" spans="1:28" ht="19.5" thickTop="1" thickBot="1" x14ac:dyDescent="0.3">
      <c r="A42" s="17" t="s">
        <v>13</v>
      </c>
      <c r="B42" s="17" t="s">
        <v>25</v>
      </c>
      <c r="C42" s="18">
        <v>45737</v>
      </c>
      <c r="D42" s="16">
        <v>32000</v>
      </c>
      <c r="E42" s="16">
        <v>1</v>
      </c>
      <c r="F42" s="17">
        <v>32000</v>
      </c>
      <c r="G42" s="17">
        <v>6400</v>
      </c>
      <c r="H42" s="19" t="s">
        <v>39</v>
      </c>
      <c r="J42" t="s">
        <v>51</v>
      </c>
      <c r="K42" s="29" t="s">
        <v>11</v>
      </c>
      <c r="L42" s="30" t="s">
        <v>12</v>
      </c>
      <c r="M42" s="30">
        <v>45669</v>
      </c>
      <c r="N42" s="31">
        <v>80</v>
      </c>
      <c r="O42" s="31">
        <v>50</v>
      </c>
      <c r="P42" s="31">
        <v>4000</v>
      </c>
      <c r="Q42" s="31">
        <v>800</v>
      </c>
      <c r="T42" s="21" t="s">
        <v>81</v>
      </c>
      <c r="V42" s="22" t="str">
        <f t="shared" si="0"/>
        <v>ELECTRONICS</v>
      </c>
      <c r="W42" s="22" t="str">
        <f t="shared" si="1"/>
        <v>electronics</v>
      </c>
      <c r="X42" s="22" t="str">
        <f t="shared" si="2"/>
        <v>Electronics</v>
      </c>
      <c r="AA42" t="s">
        <v>106</v>
      </c>
      <c r="AB42" t="str">
        <f t="shared" si="3"/>
        <v>Furniture Bed</v>
      </c>
    </row>
    <row r="43" spans="1:28" ht="19.5" thickTop="1" thickBot="1" x14ac:dyDescent="0.3">
      <c r="A43" s="17" t="s">
        <v>6</v>
      </c>
      <c r="B43" s="17" t="s">
        <v>8</v>
      </c>
      <c r="C43" s="18">
        <v>45738</v>
      </c>
      <c r="D43" s="16">
        <v>23000</v>
      </c>
      <c r="E43" s="16">
        <v>2</v>
      </c>
      <c r="F43" s="17">
        <v>46000</v>
      </c>
      <c r="G43" s="17">
        <v>9200</v>
      </c>
      <c r="H43" s="19" t="s">
        <v>40</v>
      </c>
      <c r="J43" t="s">
        <v>52</v>
      </c>
      <c r="K43" s="29" t="s">
        <v>13</v>
      </c>
      <c r="L43" s="30" t="s">
        <v>14</v>
      </c>
      <c r="M43" s="30">
        <v>45672</v>
      </c>
      <c r="N43" s="31">
        <v>2500</v>
      </c>
      <c r="O43" s="31">
        <v>4</v>
      </c>
      <c r="P43" s="31">
        <v>10000</v>
      </c>
      <c r="Q43" s="31">
        <v>2000</v>
      </c>
      <c r="T43" s="21" t="s">
        <v>44</v>
      </c>
      <c r="V43" s="22" t="str">
        <f t="shared" si="0"/>
        <v>CLOTHING</v>
      </c>
      <c r="W43" s="22" t="str">
        <f t="shared" si="1"/>
        <v>clothing</v>
      </c>
      <c r="X43" s="22" t="str">
        <f t="shared" si="2"/>
        <v>Clothing</v>
      </c>
      <c r="AA43" t="s">
        <v>92</v>
      </c>
      <c r="AB43" t="str">
        <f t="shared" si="3"/>
        <v>Electronics Mobile</v>
      </c>
    </row>
    <row r="44" spans="1:28" ht="19.5" thickTop="1" thickBot="1" x14ac:dyDescent="0.3">
      <c r="A44" s="17" t="s">
        <v>9</v>
      </c>
      <c r="B44" s="17" t="s">
        <v>10</v>
      </c>
      <c r="C44" s="18">
        <v>45739</v>
      </c>
      <c r="D44" s="16">
        <v>1400</v>
      </c>
      <c r="E44" s="16">
        <v>3</v>
      </c>
      <c r="F44" s="17">
        <v>4200</v>
      </c>
      <c r="G44" s="17">
        <v>840</v>
      </c>
      <c r="H44" s="19" t="s">
        <v>41</v>
      </c>
      <c r="J44" t="s">
        <v>53</v>
      </c>
      <c r="K44" s="29" t="s">
        <v>6</v>
      </c>
      <c r="L44" s="30" t="s">
        <v>15</v>
      </c>
      <c r="M44" s="30">
        <v>45675</v>
      </c>
      <c r="N44" s="31">
        <v>18000</v>
      </c>
      <c r="O44" s="31">
        <v>2</v>
      </c>
      <c r="P44" s="31">
        <v>36000</v>
      </c>
      <c r="Q44" s="31">
        <v>7200</v>
      </c>
      <c r="T44" s="21" t="s">
        <v>82</v>
      </c>
      <c r="V44" s="22" t="str">
        <f t="shared" si="0"/>
        <v>GROCERY</v>
      </c>
      <c r="W44" s="22" t="str">
        <f t="shared" si="1"/>
        <v>grocery</v>
      </c>
      <c r="X44" s="22" t="str">
        <f t="shared" si="2"/>
        <v>Grocery</v>
      </c>
      <c r="AA44" t="s">
        <v>93</v>
      </c>
      <c r="AB44" t="str">
        <f t="shared" si="3"/>
        <v>Clothing Shirt</v>
      </c>
    </row>
    <row r="45" spans="1:28" ht="19.5" thickTop="1" thickBot="1" x14ac:dyDescent="0.3">
      <c r="A45" s="17" t="s">
        <v>11</v>
      </c>
      <c r="B45" s="17" t="s">
        <v>12</v>
      </c>
      <c r="C45" s="18">
        <v>45740</v>
      </c>
      <c r="D45" s="16">
        <v>90</v>
      </c>
      <c r="E45" s="16">
        <v>30</v>
      </c>
      <c r="F45" s="17">
        <v>2700</v>
      </c>
      <c r="G45" s="17">
        <v>540</v>
      </c>
      <c r="H45" s="19" t="s">
        <v>42</v>
      </c>
      <c r="J45" t="s">
        <v>54</v>
      </c>
      <c r="K45" s="29" t="s">
        <v>9</v>
      </c>
      <c r="L45" s="30" t="s">
        <v>16</v>
      </c>
      <c r="M45" s="30">
        <v>45677</v>
      </c>
      <c r="N45" s="31">
        <v>2000</v>
      </c>
      <c r="O45" s="31">
        <v>3</v>
      </c>
      <c r="P45" s="31">
        <v>6000</v>
      </c>
      <c r="Q45" s="31">
        <v>1200</v>
      </c>
      <c r="T45" s="21" t="s">
        <v>81</v>
      </c>
      <c r="V45" s="22" t="str">
        <f t="shared" si="0"/>
        <v>ELECTRONICS</v>
      </c>
      <c r="W45" s="22" t="str">
        <f t="shared" si="1"/>
        <v>electronics</v>
      </c>
      <c r="X45" s="22" t="str">
        <f t="shared" si="2"/>
        <v>Electronics</v>
      </c>
      <c r="AA45" t="s">
        <v>94</v>
      </c>
      <c r="AB45" t="str">
        <f t="shared" si="3"/>
        <v>Grocery Rice</v>
      </c>
    </row>
    <row r="46" spans="1:28" ht="19.5" thickTop="1" thickBot="1" x14ac:dyDescent="0.3">
      <c r="A46" s="17" t="s">
        <v>6</v>
      </c>
      <c r="B46" s="17" t="s">
        <v>7</v>
      </c>
      <c r="C46" s="18">
        <v>45741</v>
      </c>
      <c r="D46" s="16">
        <v>55000</v>
      </c>
      <c r="E46" s="16">
        <v>2</v>
      </c>
      <c r="F46" s="17">
        <v>110000</v>
      </c>
      <c r="G46" s="17">
        <v>22000</v>
      </c>
      <c r="H46" s="19" t="s">
        <v>38</v>
      </c>
      <c r="J46" t="s">
        <v>55</v>
      </c>
      <c r="K46" s="29" t="s">
        <v>11</v>
      </c>
      <c r="L46" s="30" t="s">
        <v>17</v>
      </c>
      <c r="M46" s="30">
        <v>45680</v>
      </c>
      <c r="N46" s="31">
        <v>150</v>
      </c>
      <c r="O46" s="31">
        <v>20</v>
      </c>
      <c r="P46" s="31">
        <v>3000</v>
      </c>
      <c r="Q46" s="31">
        <v>600</v>
      </c>
      <c r="T46" s="21" t="s">
        <v>81</v>
      </c>
      <c r="V46" s="22" t="str">
        <f t="shared" si="0"/>
        <v>ELECTRONICS</v>
      </c>
      <c r="W46" s="22" t="str">
        <f t="shared" si="1"/>
        <v>electronics</v>
      </c>
      <c r="X46" s="22" t="str">
        <f t="shared" si="2"/>
        <v>Electronics</v>
      </c>
      <c r="AA46" t="s">
        <v>91</v>
      </c>
      <c r="AB46" t="str">
        <f t="shared" si="3"/>
        <v>Electronics Laptop</v>
      </c>
    </row>
    <row r="47" spans="1:28" ht="19.5" thickTop="1" thickBot="1" x14ac:dyDescent="0.3">
      <c r="A47" s="17" t="s">
        <v>6</v>
      </c>
      <c r="B47" s="17" t="s">
        <v>15</v>
      </c>
      <c r="C47" s="18">
        <v>45742</v>
      </c>
      <c r="D47" s="16">
        <v>16000</v>
      </c>
      <c r="E47" s="16">
        <v>2</v>
      </c>
      <c r="F47" s="17">
        <v>32000</v>
      </c>
      <c r="G47" s="17">
        <v>6400</v>
      </c>
      <c r="H47" s="19" t="s">
        <v>39</v>
      </c>
      <c r="J47" t="s">
        <v>56</v>
      </c>
      <c r="K47" s="29" t="s">
        <v>13</v>
      </c>
      <c r="L47" s="30" t="s">
        <v>18</v>
      </c>
      <c r="M47" s="30">
        <v>45682</v>
      </c>
      <c r="N47" s="31">
        <v>6000</v>
      </c>
      <c r="O47" s="31">
        <v>2</v>
      </c>
      <c r="P47" s="31">
        <v>12000</v>
      </c>
      <c r="Q47" s="31">
        <v>2400</v>
      </c>
      <c r="T47" s="21" t="s">
        <v>44</v>
      </c>
      <c r="V47" s="22" t="str">
        <f t="shared" si="0"/>
        <v>CLOTHING</v>
      </c>
      <c r="W47" s="22" t="str">
        <f t="shared" si="1"/>
        <v>clothing</v>
      </c>
      <c r="X47" s="22" t="str">
        <f t="shared" si="2"/>
        <v>Clothing</v>
      </c>
      <c r="AA47" t="s">
        <v>96</v>
      </c>
      <c r="AB47" t="str">
        <f t="shared" si="3"/>
        <v>Electronics Tablet</v>
      </c>
    </row>
    <row r="48" spans="1:28" ht="19.5" thickTop="1" thickBot="1" x14ac:dyDescent="0.3">
      <c r="A48" s="17" t="s">
        <v>9</v>
      </c>
      <c r="B48" s="17" t="s">
        <v>16</v>
      </c>
      <c r="C48" s="18">
        <v>45743</v>
      </c>
      <c r="D48" s="16">
        <v>2000</v>
      </c>
      <c r="E48" s="16">
        <v>3</v>
      </c>
      <c r="F48" s="17">
        <v>6000</v>
      </c>
      <c r="G48" s="17">
        <v>1200</v>
      </c>
      <c r="H48" s="19" t="s">
        <v>40</v>
      </c>
      <c r="J48" t="s">
        <v>57</v>
      </c>
      <c r="K48" s="29" t="s">
        <v>6</v>
      </c>
      <c r="L48" s="30" t="s">
        <v>19</v>
      </c>
      <c r="M48" s="30">
        <v>45685</v>
      </c>
      <c r="N48" s="31">
        <v>3000</v>
      </c>
      <c r="O48" s="31">
        <v>4</v>
      </c>
      <c r="P48" s="31">
        <v>12000</v>
      </c>
      <c r="Q48" s="31">
        <v>2400</v>
      </c>
      <c r="T48" s="21" t="s">
        <v>82</v>
      </c>
      <c r="V48" s="22" t="str">
        <f t="shared" si="0"/>
        <v>GROCERY</v>
      </c>
      <c r="W48" s="22" t="str">
        <f t="shared" si="1"/>
        <v>grocery</v>
      </c>
      <c r="X48" s="22" t="str">
        <f t="shared" si="2"/>
        <v>Grocery</v>
      </c>
      <c r="AA48" t="s">
        <v>97</v>
      </c>
      <c r="AB48" t="str">
        <f t="shared" si="3"/>
        <v>Clothing Jeans</v>
      </c>
    </row>
    <row r="49" spans="1:28" ht="19.5" thickTop="1" thickBot="1" x14ac:dyDescent="0.3">
      <c r="A49" s="17" t="s">
        <v>11</v>
      </c>
      <c r="B49" s="17" t="s">
        <v>17</v>
      </c>
      <c r="C49" s="18">
        <v>45744</v>
      </c>
      <c r="D49" s="16">
        <v>150</v>
      </c>
      <c r="E49" s="16">
        <v>25</v>
      </c>
      <c r="F49" s="17">
        <v>3750</v>
      </c>
      <c r="G49" s="17">
        <v>750</v>
      </c>
      <c r="H49" s="19" t="s">
        <v>41</v>
      </c>
      <c r="J49" t="s">
        <v>58</v>
      </c>
      <c r="K49" s="29" t="s">
        <v>9</v>
      </c>
      <c r="L49" s="30" t="s">
        <v>20</v>
      </c>
      <c r="M49" s="30">
        <v>45690</v>
      </c>
      <c r="N49" s="31">
        <v>3500</v>
      </c>
      <c r="O49" s="31">
        <v>2</v>
      </c>
      <c r="P49" s="31">
        <v>7000</v>
      </c>
      <c r="Q49" s="31">
        <v>1400</v>
      </c>
      <c r="T49" s="21" t="s">
        <v>83</v>
      </c>
      <c r="V49" s="22" t="str">
        <f t="shared" si="0"/>
        <v>FURNITURE</v>
      </c>
      <c r="W49" s="22" t="str">
        <f t="shared" si="1"/>
        <v>furniture</v>
      </c>
      <c r="X49" s="22" t="str">
        <f t="shared" si="2"/>
        <v>Furniture</v>
      </c>
      <c r="AA49" t="s">
        <v>98</v>
      </c>
      <c r="AB49" t="str">
        <f t="shared" si="3"/>
        <v>Grocery Oil</v>
      </c>
    </row>
    <row r="50" spans="1:28" ht="19.5" thickTop="1" thickBot="1" x14ac:dyDescent="0.3">
      <c r="A50" s="17" t="s">
        <v>13</v>
      </c>
      <c r="B50" s="17" t="s">
        <v>14</v>
      </c>
      <c r="C50" s="18">
        <v>45745</v>
      </c>
      <c r="D50" s="16">
        <v>2400</v>
      </c>
      <c r="E50" s="16">
        <v>4</v>
      </c>
      <c r="F50" s="17">
        <v>9600</v>
      </c>
      <c r="G50" s="17">
        <v>1920</v>
      </c>
      <c r="H50" s="19" t="s">
        <v>42</v>
      </c>
      <c r="J50" t="s">
        <v>59</v>
      </c>
      <c r="K50" s="29" t="s">
        <v>11</v>
      </c>
      <c r="L50" s="30" t="s">
        <v>21</v>
      </c>
      <c r="M50" s="30">
        <v>45693</v>
      </c>
      <c r="N50" s="31">
        <v>45</v>
      </c>
      <c r="O50" s="31">
        <v>60</v>
      </c>
      <c r="P50" s="31">
        <v>2700</v>
      </c>
      <c r="Q50" s="31">
        <v>540</v>
      </c>
      <c r="T50" s="21" t="s">
        <v>81</v>
      </c>
      <c r="V50" s="22" t="str">
        <f t="shared" si="0"/>
        <v>ELECTRONICS</v>
      </c>
      <c r="W50" s="22" t="str">
        <f t="shared" si="1"/>
        <v>electronics</v>
      </c>
      <c r="X50" s="22" t="str">
        <f t="shared" si="2"/>
        <v>Electronics</v>
      </c>
      <c r="AA50" t="s">
        <v>95</v>
      </c>
      <c r="AB50" t="str">
        <f t="shared" si="3"/>
        <v>Furniture Chair</v>
      </c>
    </row>
    <row r="51" spans="1:28" ht="30" thickTop="1" thickBot="1" x14ac:dyDescent="0.3">
      <c r="A51" s="17" t="s">
        <v>6</v>
      </c>
      <c r="B51" s="17" t="s">
        <v>19</v>
      </c>
      <c r="C51" s="18">
        <v>45746</v>
      </c>
      <c r="D51" s="16">
        <v>3000</v>
      </c>
      <c r="E51" s="16">
        <v>3</v>
      </c>
      <c r="F51" s="17">
        <v>9000</v>
      </c>
      <c r="G51" s="17">
        <v>1800</v>
      </c>
      <c r="H51" s="19" t="s">
        <v>38</v>
      </c>
      <c r="J51" t="s">
        <v>60</v>
      </c>
      <c r="K51" s="29" t="s">
        <v>13</v>
      </c>
      <c r="L51" s="30" t="s">
        <v>22</v>
      </c>
      <c r="M51" s="30">
        <v>45696</v>
      </c>
      <c r="N51" s="31">
        <v>20000</v>
      </c>
      <c r="O51" s="31">
        <v>1</v>
      </c>
      <c r="P51" s="31">
        <v>20000</v>
      </c>
      <c r="Q51" s="31">
        <v>4000</v>
      </c>
      <c r="T51" s="21" t="s">
        <v>44</v>
      </c>
      <c r="V51" s="22" t="str">
        <f t="shared" si="0"/>
        <v>CLOTHING</v>
      </c>
      <c r="W51" s="22" t="str">
        <f t="shared" si="1"/>
        <v>clothing</v>
      </c>
      <c r="X51" s="22" t="str">
        <f t="shared" si="2"/>
        <v>Clothing</v>
      </c>
      <c r="AA51" t="s">
        <v>100</v>
      </c>
      <c r="AB51" t="str">
        <f t="shared" si="3"/>
        <v>Electronics Headphones</v>
      </c>
    </row>
    <row r="52" spans="1:28" ht="19.5" thickTop="1" thickBot="1" x14ac:dyDescent="0.3">
      <c r="A52" s="17" t="s">
        <v>9</v>
      </c>
      <c r="B52" s="17" t="s">
        <v>20</v>
      </c>
      <c r="C52" s="18">
        <v>45747</v>
      </c>
      <c r="D52" s="16">
        <v>3400</v>
      </c>
      <c r="E52" s="16">
        <v>2</v>
      </c>
      <c r="F52" s="17">
        <v>6800</v>
      </c>
      <c r="G52" s="17">
        <v>1360</v>
      </c>
      <c r="H52" s="19" t="s">
        <v>39</v>
      </c>
      <c r="J52" t="s">
        <v>61</v>
      </c>
      <c r="K52" s="29" t="s">
        <v>6</v>
      </c>
      <c r="L52" s="30" t="s">
        <v>7</v>
      </c>
      <c r="M52" s="30">
        <v>45700</v>
      </c>
      <c r="N52" s="31">
        <v>58000</v>
      </c>
      <c r="O52" s="31">
        <v>1</v>
      </c>
      <c r="P52" s="31">
        <v>58000</v>
      </c>
      <c r="Q52" s="31">
        <v>11600</v>
      </c>
      <c r="T52" s="21" t="s">
        <v>82</v>
      </c>
      <c r="V52" s="22" t="str">
        <f t="shared" si="0"/>
        <v>GROCERY</v>
      </c>
      <c r="W52" s="22" t="str">
        <f t="shared" si="1"/>
        <v>grocery</v>
      </c>
      <c r="X52" s="22" t="str">
        <f t="shared" si="2"/>
        <v>Grocery</v>
      </c>
      <c r="AA52" t="s">
        <v>101</v>
      </c>
      <c r="AB52" t="str">
        <f t="shared" si="3"/>
        <v>Clothing Jacket</v>
      </c>
    </row>
    <row r="53" spans="1:28" ht="19.5" thickTop="1" thickBot="1" x14ac:dyDescent="0.3">
      <c r="A53" s="17" t="s">
        <v>11</v>
      </c>
      <c r="B53" s="17" t="s">
        <v>21</v>
      </c>
      <c r="C53" s="18">
        <v>45748</v>
      </c>
      <c r="D53" s="16">
        <v>45</v>
      </c>
      <c r="E53" s="16">
        <v>50</v>
      </c>
      <c r="F53" s="17">
        <v>2250</v>
      </c>
      <c r="G53" s="17">
        <v>450</v>
      </c>
      <c r="H53" s="19" t="s">
        <v>40</v>
      </c>
      <c r="J53" t="s">
        <v>62</v>
      </c>
      <c r="K53" s="29" t="s">
        <v>9</v>
      </c>
      <c r="L53" s="30" t="s">
        <v>23</v>
      </c>
      <c r="M53" s="30">
        <v>45703</v>
      </c>
      <c r="N53" s="31">
        <v>700</v>
      </c>
      <c r="O53" s="31">
        <v>6</v>
      </c>
      <c r="P53" s="31">
        <v>4200</v>
      </c>
      <c r="Q53" s="31">
        <v>840</v>
      </c>
      <c r="T53" s="21" t="s">
        <v>83</v>
      </c>
      <c r="V53" s="22" t="str">
        <f t="shared" si="0"/>
        <v>FURNITURE</v>
      </c>
      <c r="W53" s="22" t="str">
        <f t="shared" si="1"/>
        <v>furniture</v>
      </c>
      <c r="X53" s="22" t="str">
        <f t="shared" si="2"/>
        <v>Furniture</v>
      </c>
      <c r="AA53" t="s">
        <v>102</v>
      </c>
      <c r="AB53" t="str">
        <f t="shared" si="3"/>
        <v>Grocery Sugar</v>
      </c>
    </row>
    <row r="54" spans="1:28" ht="19.5" thickTop="1" thickBot="1" x14ac:dyDescent="0.3">
      <c r="A54" s="17" t="s">
        <v>13</v>
      </c>
      <c r="B54" s="17" t="s">
        <v>18</v>
      </c>
      <c r="C54" s="18">
        <v>45749</v>
      </c>
      <c r="D54" s="16">
        <v>6000</v>
      </c>
      <c r="E54" s="16">
        <v>2</v>
      </c>
      <c r="F54" s="17">
        <v>12000</v>
      </c>
      <c r="G54" s="17">
        <v>2400</v>
      </c>
      <c r="H54" s="19" t="s">
        <v>41</v>
      </c>
      <c r="J54" t="s">
        <v>63</v>
      </c>
      <c r="K54" s="29" t="s">
        <v>11</v>
      </c>
      <c r="L54" s="30" t="s">
        <v>24</v>
      </c>
      <c r="M54" s="30">
        <v>45706</v>
      </c>
      <c r="N54" s="31">
        <v>60</v>
      </c>
      <c r="O54" s="31">
        <v>40</v>
      </c>
      <c r="P54" s="31">
        <v>2400</v>
      </c>
      <c r="Q54" s="31">
        <v>480</v>
      </c>
      <c r="T54" s="21" t="s">
        <v>81</v>
      </c>
      <c r="V54" s="22" t="str">
        <f t="shared" si="0"/>
        <v>ELECTRONICS</v>
      </c>
      <c r="W54" s="22" t="str">
        <f t="shared" si="1"/>
        <v>electronics</v>
      </c>
      <c r="X54" s="22" t="str">
        <f t="shared" si="2"/>
        <v>Electronics</v>
      </c>
      <c r="AA54" t="s">
        <v>99</v>
      </c>
      <c r="AB54" t="str">
        <f t="shared" si="3"/>
        <v>Furniture Table</v>
      </c>
    </row>
    <row r="55" spans="1:28" ht="19.5" thickTop="1" thickBot="1" x14ac:dyDescent="0.3">
      <c r="A55" s="17" t="s">
        <v>6</v>
      </c>
      <c r="B55" s="17" t="s">
        <v>8</v>
      </c>
      <c r="C55" s="18">
        <v>45750</v>
      </c>
      <c r="D55" s="16">
        <v>22000</v>
      </c>
      <c r="E55" s="16">
        <v>1</v>
      </c>
      <c r="F55" s="17">
        <v>22000</v>
      </c>
      <c r="G55" s="17">
        <v>4400</v>
      </c>
      <c r="H55" s="19" t="s">
        <v>42</v>
      </c>
      <c r="J55" t="s">
        <v>64</v>
      </c>
      <c r="K55" s="29" t="s">
        <v>13</v>
      </c>
      <c r="L55" s="30" t="s">
        <v>25</v>
      </c>
      <c r="M55" s="30">
        <v>45709</v>
      </c>
      <c r="N55" s="31">
        <v>30000</v>
      </c>
      <c r="O55" s="31">
        <v>1</v>
      </c>
      <c r="P55" s="31">
        <v>30000</v>
      </c>
      <c r="Q55" s="31">
        <v>6000</v>
      </c>
      <c r="T55" s="21" t="s">
        <v>44</v>
      </c>
      <c r="V55" s="22" t="str">
        <f t="shared" si="0"/>
        <v>CLOTHING</v>
      </c>
      <c r="W55" s="22" t="str">
        <f t="shared" si="1"/>
        <v>clothing</v>
      </c>
      <c r="X55" s="22" t="str">
        <f t="shared" si="2"/>
        <v>Clothing</v>
      </c>
      <c r="AA55" t="s">
        <v>92</v>
      </c>
      <c r="AB55" t="str">
        <f t="shared" si="3"/>
        <v>Electronics Mobile</v>
      </c>
    </row>
    <row r="56" spans="1:28" ht="19.5" thickTop="1" thickBot="1" x14ac:dyDescent="0.3">
      <c r="A56" s="17" t="s">
        <v>9</v>
      </c>
      <c r="B56" s="17" t="s">
        <v>10</v>
      </c>
      <c r="C56" s="18">
        <v>45751</v>
      </c>
      <c r="D56" s="16">
        <v>1200</v>
      </c>
      <c r="E56" s="16">
        <v>4</v>
      </c>
      <c r="F56" s="17">
        <v>4800</v>
      </c>
      <c r="G56" s="17">
        <v>960</v>
      </c>
      <c r="H56" s="19" t="s">
        <v>38</v>
      </c>
      <c r="J56" t="s">
        <v>65</v>
      </c>
      <c r="K56" s="29" t="s">
        <v>6</v>
      </c>
      <c r="L56" s="30" t="s">
        <v>8</v>
      </c>
      <c r="M56" s="30">
        <v>45713</v>
      </c>
      <c r="N56" s="31">
        <v>22000</v>
      </c>
      <c r="O56" s="31">
        <v>2</v>
      </c>
      <c r="P56" s="31">
        <v>44000</v>
      </c>
      <c r="Q56" s="31">
        <v>8800</v>
      </c>
      <c r="T56" s="21" t="s">
        <v>82</v>
      </c>
      <c r="V56" s="22" t="str">
        <f t="shared" si="0"/>
        <v>GROCERY</v>
      </c>
      <c r="W56" s="22" t="str">
        <f t="shared" si="1"/>
        <v>grocery</v>
      </c>
      <c r="X56" s="22" t="str">
        <f t="shared" si="2"/>
        <v>Grocery</v>
      </c>
      <c r="AA56" t="s">
        <v>93</v>
      </c>
      <c r="AB56" t="str">
        <f t="shared" si="3"/>
        <v>Clothing Shirt</v>
      </c>
    </row>
    <row r="57" spans="1:28" ht="19.5" thickTop="1" thickBot="1" x14ac:dyDescent="0.3">
      <c r="A57" s="17" t="s">
        <v>11</v>
      </c>
      <c r="B57" s="17" t="s">
        <v>12</v>
      </c>
      <c r="C57" s="18">
        <v>45752</v>
      </c>
      <c r="D57" s="16">
        <v>80</v>
      </c>
      <c r="E57" s="16">
        <v>45</v>
      </c>
      <c r="F57" s="17">
        <v>3600</v>
      </c>
      <c r="G57" s="17">
        <v>720</v>
      </c>
      <c r="H57" s="19" t="s">
        <v>39</v>
      </c>
      <c r="J57" t="s">
        <v>66</v>
      </c>
      <c r="K57" s="29" t="s">
        <v>9</v>
      </c>
      <c r="L57" s="30" t="s">
        <v>10</v>
      </c>
      <c r="M57" s="30">
        <v>45716</v>
      </c>
      <c r="N57" s="31">
        <v>1300</v>
      </c>
      <c r="O57" s="31">
        <v>4</v>
      </c>
      <c r="P57" s="31">
        <v>5200</v>
      </c>
      <c r="Q57" s="31">
        <v>1040</v>
      </c>
      <c r="T57" s="21" t="s">
        <v>83</v>
      </c>
      <c r="V57" s="22" t="str">
        <f t="shared" si="0"/>
        <v>FURNITURE</v>
      </c>
      <c r="W57" s="22" t="str">
        <f t="shared" si="1"/>
        <v>furniture</v>
      </c>
      <c r="X57" s="22" t="str">
        <f t="shared" si="2"/>
        <v>Furniture</v>
      </c>
      <c r="AA57" t="s">
        <v>94</v>
      </c>
      <c r="AB57" t="str">
        <f t="shared" si="3"/>
        <v>Grocery Rice</v>
      </c>
    </row>
    <row r="58" spans="1:28" ht="19.5" thickTop="1" thickBot="1" x14ac:dyDescent="0.3">
      <c r="A58" s="17" t="s">
        <v>13</v>
      </c>
      <c r="B58" s="17" t="s">
        <v>22</v>
      </c>
      <c r="C58" s="18">
        <v>45753</v>
      </c>
      <c r="D58" s="16">
        <v>20000</v>
      </c>
      <c r="E58" s="16">
        <v>1</v>
      </c>
      <c r="F58" s="17">
        <v>20000</v>
      </c>
      <c r="G58" s="17">
        <v>4000</v>
      </c>
      <c r="H58" s="19" t="s">
        <v>40</v>
      </c>
      <c r="J58" t="s">
        <v>67</v>
      </c>
      <c r="K58" s="29" t="s">
        <v>11</v>
      </c>
      <c r="L58" s="30" t="s">
        <v>12</v>
      </c>
      <c r="M58" s="30">
        <v>45719</v>
      </c>
      <c r="N58" s="31">
        <v>85</v>
      </c>
      <c r="O58" s="31">
        <v>45</v>
      </c>
      <c r="P58" s="31">
        <v>3825</v>
      </c>
      <c r="Q58" s="31">
        <v>765</v>
      </c>
      <c r="T58" s="21" t="s">
        <v>81</v>
      </c>
      <c r="V58" s="22" t="str">
        <f t="shared" si="0"/>
        <v>ELECTRONICS</v>
      </c>
      <c r="W58" s="22" t="str">
        <f t="shared" si="1"/>
        <v>electronics</v>
      </c>
      <c r="X58" s="22" t="str">
        <f t="shared" si="2"/>
        <v>Electronics</v>
      </c>
      <c r="AA58" t="s">
        <v>103</v>
      </c>
      <c r="AB58" t="str">
        <f t="shared" si="3"/>
        <v>Furniture Sofa</v>
      </c>
    </row>
    <row r="59" spans="1:28" ht="19.5" thickTop="1" thickBot="1" x14ac:dyDescent="0.3">
      <c r="A59" s="17" t="s">
        <v>6</v>
      </c>
      <c r="B59" s="17" t="s">
        <v>7</v>
      </c>
      <c r="C59" s="18">
        <v>45754</v>
      </c>
      <c r="D59" s="16">
        <v>59000</v>
      </c>
      <c r="E59" s="16">
        <v>1</v>
      </c>
      <c r="F59" s="17">
        <v>59000</v>
      </c>
      <c r="G59" s="17">
        <v>11800</v>
      </c>
      <c r="H59" s="19" t="s">
        <v>41</v>
      </c>
      <c r="J59" t="s">
        <v>68</v>
      </c>
      <c r="K59" s="29" t="s">
        <v>6</v>
      </c>
      <c r="L59" s="30" t="s">
        <v>7</v>
      </c>
      <c r="M59" s="30">
        <v>45721</v>
      </c>
      <c r="N59" s="31">
        <v>56000</v>
      </c>
      <c r="O59" s="31">
        <v>1</v>
      </c>
      <c r="P59" s="31">
        <v>56000</v>
      </c>
      <c r="Q59" s="31">
        <v>11200</v>
      </c>
      <c r="T59" s="21" t="s">
        <v>44</v>
      </c>
      <c r="V59" s="22" t="str">
        <f t="shared" si="0"/>
        <v>CLOTHING</v>
      </c>
      <c r="W59" s="22" t="str">
        <f t="shared" si="1"/>
        <v>clothing</v>
      </c>
      <c r="X59" s="22" t="str">
        <f t="shared" si="2"/>
        <v>Clothing</v>
      </c>
      <c r="AA59" t="s">
        <v>91</v>
      </c>
      <c r="AB59" t="str">
        <f t="shared" si="3"/>
        <v>Electronics Laptop</v>
      </c>
    </row>
    <row r="60" spans="1:28" ht="19.5" thickTop="1" thickBot="1" x14ac:dyDescent="0.3">
      <c r="A60" s="17" t="s">
        <v>9</v>
      </c>
      <c r="B60" s="17" t="s">
        <v>23</v>
      </c>
      <c r="C60" s="18">
        <v>45755</v>
      </c>
      <c r="D60" s="16">
        <v>800</v>
      </c>
      <c r="E60" s="16">
        <v>5</v>
      </c>
      <c r="F60" s="17">
        <v>4000</v>
      </c>
      <c r="G60" s="17">
        <v>800</v>
      </c>
      <c r="H60" s="19" t="s">
        <v>42</v>
      </c>
      <c r="J60" t="s">
        <v>69</v>
      </c>
      <c r="K60" s="29" t="s">
        <v>6</v>
      </c>
      <c r="L60" s="30" t="s">
        <v>8</v>
      </c>
      <c r="M60" s="30">
        <v>45722</v>
      </c>
      <c r="N60" s="31">
        <v>21000</v>
      </c>
      <c r="O60" s="31">
        <v>2</v>
      </c>
      <c r="P60" s="31">
        <v>42000</v>
      </c>
      <c r="Q60" s="31">
        <v>8400</v>
      </c>
      <c r="T60" s="21" t="s">
        <v>82</v>
      </c>
      <c r="V60" s="22" t="str">
        <f t="shared" si="0"/>
        <v>GROCERY</v>
      </c>
      <c r="W60" s="22" t="str">
        <f t="shared" si="1"/>
        <v>grocery</v>
      </c>
      <c r="X60" s="22" t="str">
        <f t="shared" si="2"/>
        <v>Grocery</v>
      </c>
      <c r="AA60" t="s">
        <v>104</v>
      </c>
      <c r="AB60" t="str">
        <f t="shared" si="3"/>
        <v>Clothing T-shirt</v>
      </c>
    </row>
    <row r="61" spans="1:28" ht="19.5" thickTop="1" thickBot="1" x14ac:dyDescent="0.3">
      <c r="A61" s="17" t="s">
        <v>11</v>
      </c>
      <c r="B61" s="17" t="s">
        <v>24</v>
      </c>
      <c r="C61" s="18">
        <v>45756</v>
      </c>
      <c r="D61" s="16">
        <v>60</v>
      </c>
      <c r="E61" s="16">
        <v>50</v>
      </c>
      <c r="F61" s="17">
        <v>3000</v>
      </c>
      <c r="G61" s="17">
        <v>600</v>
      </c>
      <c r="H61" s="19" t="s">
        <v>38</v>
      </c>
      <c r="J61" t="s">
        <v>70</v>
      </c>
      <c r="K61" s="29" t="s">
        <v>9</v>
      </c>
      <c r="L61" s="30" t="s">
        <v>10</v>
      </c>
      <c r="M61" s="30">
        <v>45723</v>
      </c>
      <c r="N61" s="31">
        <v>1300</v>
      </c>
      <c r="O61" s="31">
        <v>4</v>
      </c>
      <c r="P61" s="31">
        <v>5200</v>
      </c>
      <c r="Q61" s="31">
        <v>1040</v>
      </c>
      <c r="T61" s="21" t="s">
        <v>83</v>
      </c>
      <c r="V61" s="22" t="str">
        <f t="shared" si="0"/>
        <v>FURNITURE</v>
      </c>
      <c r="W61" s="22" t="str">
        <f t="shared" si="1"/>
        <v>furniture</v>
      </c>
      <c r="X61" s="22" t="str">
        <f t="shared" si="2"/>
        <v>Furniture</v>
      </c>
      <c r="AA61" t="s">
        <v>105</v>
      </c>
      <c r="AB61" t="str">
        <f t="shared" si="3"/>
        <v>Grocery Wheat</v>
      </c>
    </row>
    <row r="62" spans="1:28" ht="19.5" thickTop="1" thickBot="1" x14ac:dyDescent="0.3">
      <c r="A62" s="17" t="s">
        <v>13</v>
      </c>
      <c r="B62" s="17" t="s">
        <v>25</v>
      </c>
      <c r="C62" s="18">
        <v>45757</v>
      </c>
      <c r="D62" s="16">
        <v>31000</v>
      </c>
      <c r="E62" s="16">
        <v>1</v>
      </c>
      <c r="F62" s="17">
        <v>31000</v>
      </c>
      <c r="G62" s="17">
        <v>6200</v>
      </c>
      <c r="H62" s="19" t="s">
        <v>39</v>
      </c>
      <c r="J62" t="s">
        <v>71</v>
      </c>
      <c r="K62" s="29" t="s">
        <v>11</v>
      </c>
      <c r="L62" s="30" t="s">
        <v>12</v>
      </c>
      <c r="M62" s="30">
        <v>45724</v>
      </c>
      <c r="N62" s="31">
        <v>85</v>
      </c>
      <c r="O62" s="31">
        <v>40</v>
      </c>
      <c r="P62" s="31">
        <v>3400</v>
      </c>
      <c r="Q62" s="31">
        <v>680</v>
      </c>
      <c r="T62" s="21" t="s">
        <v>81</v>
      </c>
      <c r="V62" s="22" t="str">
        <f t="shared" si="0"/>
        <v>ELECTRONICS</v>
      </c>
      <c r="W62" s="22" t="str">
        <f t="shared" si="1"/>
        <v>electronics</v>
      </c>
      <c r="X62" s="22" t="str">
        <f t="shared" si="2"/>
        <v>Electronics</v>
      </c>
      <c r="AA62" t="s">
        <v>106</v>
      </c>
      <c r="AB62" t="str">
        <f t="shared" si="3"/>
        <v>Furniture Bed</v>
      </c>
    </row>
    <row r="63" spans="1:28" ht="19.5" thickTop="1" thickBot="1" x14ac:dyDescent="0.3">
      <c r="A63" s="17" t="s">
        <v>6</v>
      </c>
      <c r="B63" s="17" t="s">
        <v>8</v>
      </c>
      <c r="C63" s="18">
        <v>45758</v>
      </c>
      <c r="D63" s="16">
        <v>24000</v>
      </c>
      <c r="E63" s="16">
        <v>2</v>
      </c>
      <c r="F63" s="17">
        <v>48000</v>
      </c>
      <c r="G63" s="17">
        <v>9600</v>
      </c>
      <c r="H63" s="19" t="s">
        <v>40</v>
      </c>
      <c r="J63" t="s">
        <v>72</v>
      </c>
      <c r="K63" s="29" t="s">
        <v>13</v>
      </c>
      <c r="L63" s="30" t="s">
        <v>14</v>
      </c>
      <c r="M63" s="30">
        <v>45725</v>
      </c>
      <c r="N63" s="31">
        <v>2600</v>
      </c>
      <c r="O63" s="31">
        <v>3</v>
      </c>
      <c r="P63" s="31">
        <v>7800</v>
      </c>
      <c r="Q63" s="31">
        <v>1560</v>
      </c>
      <c r="T63" s="21" t="s">
        <v>44</v>
      </c>
      <c r="V63" s="22" t="str">
        <f t="shared" si="0"/>
        <v>CLOTHING</v>
      </c>
      <c r="W63" s="22" t="str">
        <f t="shared" si="1"/>
        <v>clothing</v>
      </c>
      <c r="X63" s="22" t="str">
        <f t="shared" si="2"/>
        <v>Clothing</v>
      </c>
      <c r="AA63" t="s">
        <v>92</v>
      </c>
      <c r="AB63" t="str">
        <f t="shared" si="3"/>
        <v>Electronics Mobile</v>
      </c>
    </row>
    <row r="64" spans="1:28" ht="19.5" thickTop="1" thickBot="1" x14ac:dyDescent="0.3">
      <c r="A64" s="17" t="s">
        <v>9</v>
      </c>
      <c r="B64" s="17" t="s">
        <v>16</v>
      </c>
      <c r="C64" s="18">
        <v>45759</v>
      </c>
      <c r="D64" s="16">
        <v>2100</v>
      </c>
      <c r="E64" s="16">
        <v>2</v>
      </c>
      <c r="F64" s="17">
        <v>4200</v>
      </c>
      <c r="G64" s="17">
        <v>840</v>
      </c>
      <c r="H64" s="19" t="s">
        <v>41</v>
      </c>
      <c r="J64" t="s">
        <v>73</v>
      </c>
      <c r="K64" s="29" t="s">
        <v>6</v>
      </c>
      <c r="L64" s="30" t="s">
        <v>15</v>
      </c>
      <c r="M64" s="30">
        <v>45726</v>
      </c>
      <c r="N64" s="31">
        <v>17000</v>
      </c>
      <c r="O64" s="31">
        <v>2</v>
      </c>
      <c r="P64" s="31">
        <v>34000</v>
      </c>
      <c r="Q64" s="31">
        <v>6800</v>
      </c>
      <c r="T64" s="21" t="s">
        <v>82</v>
      </c>
      <c r="V64" s="22" t="str">
        <f t="shared" si="0"/>
        <v>GROCERY</v>
      </c>
      <c r="W64" s="22" t="str">
        <f t="shared" si="1"/>
        <v>grocery</v>
      </c>
      <c r="X64" s="22" t="str">
        <f t="shared" si="2"/>
        <v>Grocery</v>
      </c>
      <c r="AA64" t="s">
        <v>97</v>
      </c>
      <c r="AB64" t="str">
        <f t="shared" si="3"/>
        <v>Clothing Jeans</v>
      </c>
    </row>
    <row r="65" spans="1:28" ht="19.5" thickTop="1" thickBot="1" x14ac:dyDescent="0.3">
      <c r="A65" s="17" t="s">
        <v>11</v>
      </c>
      <c r="B65" s="17" t="s">
        <v>17</v>
      </c>
      <c r="C65" s="18">
        <v>45760</v>
      </c>
      <c r="D65" s="16">
        <v>160</v>
      </c>
      <c r="E65" s="16">
        <v>20</v>
      </c>
      <c r="F65" s="17">
        <v>3200</v>
      </c>
      <c r="G65" s="17">
        <v>640</v>
      </c>
      <c r="H65" s="19" t="s">
        <v>42</v>
      </c>
      <c r="J65" t="s">
        <v>74</v>
      </c>
      <c r="K65" s="29" t="s">
        <v>9</v>
      </c>
      <c r="L65" s="30" t="s">
        <v>16</v>
      </c>
      <c r="M65" s="30">
        <v>45727</v>
      </c>
      <c r="N65" s="31">
        <v>2100</v>
      </c>
      <c r="O65" s="31">
        <v>2</v>
      </c>
      <c r="P65" s="31">
        <v>4200</v>
      </c>
      <c r="Q65" s="31">
        <v>840</v>
      </c>
      <c r="T65" s="21" t="s">
        <v>83</v>
      </c>
      <c r="V65" s="22" t="str">
        <f t="shared" si="0"/>
        <v>FURNITURE</v>
      </c>
      <c r="W65" s="22" t="str">
        <f t="shared" si="1"/>
        <v>furniture</v>
      </c>
      <c r="X65" s="22" t="str">
        <f t="shared" si="2"/>
        <v>Furniture</v>
      </c>
      <c r="AA65" t="s">
        <v>98</v>
      </c>
      <c r="AB65" t="str">
        <f t="shared" si="3"/>
        <v>Grocery Oil</v>
      </c>
    </row>
    <row r="66" spans="1:28" ht="19.5" thickTop="1" thickBot="1" x14ac:dyDescent="0.3">
      <c r="A66" s="17" t="s">
        <v>13</v>
      </c>
      <c r="B66" s="17" t="s">
        <v>14</v>
      </c>
      <c r="C66" s="18">
        <v>45761</v>
      </c>
      <c r="D66" s="16">
        <v>2500</v>
      </c>
      <c r="E66" s="16">
        <v>3</v>
      </c>
      <c r="F66" s="17">
        <v>7500</v>
      </c>
      <c r="G66" s="17">
        <v>1500</v>
      </c>
      <c r="H66" s="19" t="s">
        <v>38</v>
      </c>
      <c r="J66" t="s">
        <v>75</v>
      </c>
      <c r="K66" s="29" t="s">
        <v>11</v>
      </c>
      <c r="L66" s="30" t="s">
        <v>21</v>
      </c>
      <c r="M66" s="30">
        <v>45728</v>
      </c>
      <c r="N66" s="31">
        <v>50</v>
      </c>
      <c r="O66" s="31">
        <v>60</v>
      </c>
      <c r="P66" s="31">
        <v>3000</v>
      </c>
      <c r="Q66" s="31">
        <v>600</v>
      </c>
      <c r="T66" s="21" t="s">
        <v>81</v>
      </c>
      <c r="V66" s="22" t="str">
        <f t="shared" si="0"/>
        <v>ELECTRONICS</v>
      </c>
      <c r="W66" s="22" t="str">
        <f t="shared" si="1"/>
        <v>electronics</v>
      </c>
      <c r="X66" s="22" t="str">
        <f t="shared" si="2"/>
        <v>Electronics</v>
      </c>
      <c r="AA66" t="s">
        <v>95</v>
      </c>
      <c r="AB66" t="str">
        <f t="shared" si="3"/>
        <v>Furniture Chair</v>
      </c>
    </row>
    <row r="67" spans="1:28" ht="19.5" thickTop="1" thickBot="1" x14ac:dyDescent="0.3">
      <c r="A67" s="17" t="s">
        <v>6</v>
      </c>
      <c r="B67" s="17" t="s">
        <v>15</v>
      </c>
      <c r="C67" s="18">
        <v>45762</v>
      </c>
      <c r="D67" s="16">
        <v>18000</v>
      </c>
      <c r="E67" s="16">
        <v>1</v>
      </c>
      <c r="F67" s="17">
        <v>18000</v>
      </c>
      <c r="G67" s="17">
        <v>3600</v>
      </c>
      <c r="H67" s="19" t="s">
        <v>39</v>
      </c>
      <c r="J67" t="s">
        <v>76</v>
      </c>
      <c r="K67" s="29" t="s">
        <v>13</v>
      </c>
      <c r="L67" s="30" t="s">
        <v>18</v>
      </c>
      <c r="M67" s="30">
        <v>45729</v>
      </c>
      <c r="N67" s="31">
        <v>6500</v>
      </c>
      <c r="O67" s="31">
        <v>1</v>
      </c>
      <c r="P67" s="31">
        <v>6500</v>
      </c>
      <c r="Q67" s="31">
        <v>1300</v>
      </c>
      <c r="T67" s="21" t="s">
        <v>44</v>
      </c>
      <c r="V67" s="22" t="str">
        <f t="shared" si="0"/>
        <v>CLOTHING</v>
      </c>
      <c r="W67" s="22" t="str">
        <f t="shared" si="1"/>
        <v>clothing</v>
      </c>
      <c r="X67" s="22" t="str">
        <f t="shared" si="2"/>
        <v>Clothing</v>
      </c>
      <c r="AA67" t="s">
        <v>96</v>
      </c>
      <c r="AB67" t="str">
        <f t="shared" si="3"/>
        <v>Electronics Tablet</v>
      </c>
    </row>
    <row r="68" spans="1:28" ht="19.5" thickTop="1" thickBot="1" x14ac:dyDescent="0.3">
      <c r="A68" s="17" t="s">
        <v>9</v>
      </c>
      <c r="B68" s="17" t="s">
        <v>20</v>
      </c>
      <c r="C68" s="18">
        <v>45763</v>
      </c>
      <c r="D68" s="16">
        <v>3500</v>
      </c>
      <c r="E68" s="16">
        <v>2</v>
      </c>
      <c r="F68" s="17">
        <v>7000</v>
      </c>
      <c r="G68" s="17">
        <v>1400</v>
      </c>
      <c r="H68" s="19" t="s">
        <v>40</v>
      </c>
      <c r="J68" t="s">
        <v>77</v>
      </c>
      <c r="K68" s="29" t="s">
        <v>6</v>
      </c>
      <c r="L68" s="30" t="s">
        <v>19</v>
      </c>
      <c r="M68" s="30">
        <v>45730</v>
      </c>
      <c r="N68" s="31">
        <v>3200</v>
      </c>
      <c r="O68" s="31">
        <v>3</v>
      </c>
      <c r="P68" s="31">
        <v>9600</v>
      </c>
      <c r="Q68" s="31">
        <v>1920</v>
      </c>
      <c r="T68" s="21" t="s">
        <v>82</v>
      </c>
      <c r="V68" s="22" t="str">
        <f t="shared" si="0"/>
        <v>GROCERY</v>
      </c>
      <c r="W68" s="22" t="str">
        <f t="shared" si="1"/>
        <v>grocery</v>
      </c>
      <c r="X68" s="22" t="str">
        <f t="shared" si="2"/>
        <v>Grocery</v>
      </c>
      <c r="AA68" t="s">
        <v>93</v>
      </c>
      <c r="AB68" t="str">
        <f t="shared" si="3"/>
        <v>Clothing Shirt</v>
      </c>
    </row>
    <row r="69" spans="1:28" ht="19.5" thickTop="1" thickBot="1" x14ac:dyDescent="0.3">
      <c r="A69" s="17" t="s">
        <v>11</v>
      </c>
      <c r="B69" s="17" t="s">
        <v>21</v>
      </c>
      <c r="C69" s="18">
        <v>45764</v>
      </c>
      <c r="D69" s="16">
        <v>50</v>
      </c>
      <c r="E69" s="16">
        <v>40</v>
      </c>
      <c r="F69" s="17">
        <v>2000</v>
      </c>
      <c r="G69" s="17">
        <v>400</v>
      </c>
      <c r="H69" s="19" t="s">
        <v>41</v>
      </c>
      <c r="J69" t="s">
        <v>78</v>
      </c>
      <c r="K69" s="29" t="s">
        <v>9</v>
      </c>
      <c r="L69" s="30" t="s">
        <v>20</v>
      </c>
      <c r="M69" s="30">
        <v>45731</v>
      </c>
      <c r="N69" s="31">
        <v>3600</v>
      </c>
      <c r="O69" s="31">
        <v>2</v>
      </c>
      <c r="P69" s="31">
        <v>7200</v>
      </c>
      <c r="Q69" s="31">
        <v>1440</v>
      </c>
      <c r="T69" s="21" t="s">
        <v>83</v>
      </c>
      <c r="V69" s="22" t="str">
        <f t="shared" si="0"/>
        <v>FURNITURE</v>
      </c>
      <c r="W69" s="22" t="str">
        <f t="shared" si="1"/>
        <v>furniture</v>
      </c>
      <c r="X69" s="22" t="str">
        <f t="shared" si="2"/>
        <v>Furniture</v>
      </c>
      <c r="AA69" t="s">
        <v>94</v>
      </c>
      <c r="AB69" t="str">
        <f t="shared" si="3"/>
        <v>Grocery Rice</v>
      </c>
    </row>
    <row r="70" spans="1:28" ht="19.5" thickTop="1" thickBot="1" x14ac:dyDescent="0.3">
      <c r="A70" s="17" t="s">
        <v>13</v>
      </c>
      <c r="B70" s="17" t="s">
        <v>18</v>
      </c>
      <c r="C70" s="18">
        <v>45765</v>
      </c>
      <c r="D70" s="16">
        <v>6200</v>
      </c>
      <c r="E70" s="16">
        <v>1</v>
      </c>
      <c r="F70" s="17">
        <v>6200</v>
      </c>
      <c r="G70" s="17">
        <v>1240</v>
      </c>
      <c r="H70" s="19" t="s">
        <v>42</v>
      </c>
      <c r="J70" t="s">
        <v>79</v>
      </c>
      <c r="K70" s="29" t="s">
        <v>11</v>
      </c>
      <c r="L70" s="30" t="s">
        <v>17</v>
      </c>
      <c r="M70" s="30">
        <v>45732</v>
      </c>
      <c r="N70" s="31">
        <v>155</v>
      </c>
      <c r="O70" s="31">
        <v>20</v>
      </c>
      <c r="P70" s="31">
        <v>3100</v>
      </c>
      <c r="Q70" s="31">
        <v>620</v>
      </c>
      <c r="T70" s="21" t="s">
        <v>81</v>
      </c>
      <c r="V70" s="22" t="str">
        <f t="shared" si="0"/>
        <v>ELECTRONICS</v>
      </c>
      <c r="W70" s="22" t="str">
        <f t="shared" si="1"/>
        <v>electronics</v>
      </c>
      <c r="X70" s="22" t="str">
        <f t="shared" si="2"/>
        <v>Electronics</v>
      </c>
      <c r="AA70" t="s">
        <v>99</v>
      </c>
      <c r="AB70" t="str">
        <f t="shared" si="3"/>
        <v>Furniture Table</v>
      </c>
    </row>
    <row r="71" spans="1:28" ht="30" thickTop="1" thickBot="1" x14ac:dyDescent="0.3">
      <c r="A71" s="17" t="s">
        <v>6</v>
      </c>
      <c r="B71" s="17" t="s">
        <v>19</v>
      </c>
      <c r="C71" s="18">
        <v>45766</v>
      </c>
      <c r="D71" s="16">
        <v>3100</v>
      </c>
      <c r="E71" s="16">
        <v>3</v>
      </c>
      <c r="F71" s="17">
        <v>9300</v>
      </c>
      <c r="G71" s="17">
        <v>1860</v>
      </c>
      <c r="H71" s="19" t="s">
        <v>38</v>
      </c>
      <c r="J71" t="s">
        <v>80</v>
      </c>
      <c r="K71" s="29" t="s">
        <v>13</v>
      </c>
      <c r="L71" s="30" t="s">
        <v>22</v>
      </c>
      <c r="M71" s="30">
        <v>45733</v>
      </c>
      <c r="N71" s="31">
        <v>21000</v>
      </c>
      <c r="O71" s="31">
        <v>1</v>
      </c>
      <c r="P71" s="31">
        <v>21000</v>
      </c>
      <c r="Q71" s="31">
        <v>4200</v>
      </c>
      <c r="T71" s="21" t="s">
        <v>44</v>
      </c>
      <c r="V71" s="22" t="str">
        <f t="shared" ref="V71:V93" si="4">UPPER(T71)</f>
        <v>CLOTHING</v>
      </c>
      <c r="W71" s="22" t="str">
        <f t="shared" ref="W71:W93" si="5">LOWER(T71)</f>
        <v>clothing</v>
      </c>
      <c r="X71" s="22" t="str">
        <f t="shared" ref="X71:X93" si="6">PROPER(T71)</f>
        <v>Clothing</v>
      </c>
      <c r="AA71" t="s">
        <v>100</v>
      </c>
      <c r="AB71" t="str">
        <f t="shared" ref="AB71:AB83" si="7">TRIM(AA71)</f>
        <v>Electronics Headphones</v>
      </c>
    </row>
    <row r="72" spans="1:28" ht="19.5" thickTop="1" thickBot="1" x14ac:dyDescent="0.3">
      <c r="A72" s="17" t="s">
        <v>9</v>
      </c>
      <c r="B72" s="17" t="s">
        <v>10</v>
      </c>
      <c r="C72" s="18">
        <v>45767</v>
      </c>
      <c r="D72" s="16">
        <v>1250</v>
      </c>
      <c r="E72" s="16">
        <v>4</v>
      </c>
      <c r="F72" s="17">
        <v>5000</v>
      </c>
      <c r="G72" s="17">
        <v>1000</v>
      </c>
      <c r="H72" s="19" t="s">
        <v>39</v>
      </c>
      <c r="J72" s="2"/>
      <c r="K72" s="2"/>
      <c r="L72" s="6"/>
      <c r="T72" s="21" t="s">
        <v>82</v>
      </c>
      <c r="V72" s="22" t="str">
        <f t="shared" si="4"/>
        <v>GROCERY</v>
      </c>
      <c r="W72" s="22" t="str">
        <f t="shared" si="5"/>
        <v>grocery</v>
      </c>
      <c r="X72" s="22" t="str">
        <f t="shared" si="6"/>
        <v>Grocery</v>
      </c>
      <c r="AA72" t="s">
        <v>101</v>
      </c>
      <c r="AB72" t="str">
        <f t="shared" si="7"/>
        <v>Clothing Jacket</v>
      </c>
    </row>
    <row r="73" spans="1:28" ht="19.5" thickTop="1" thickBot="1" x14ac:dyDescent="0.3">
      <c r="A73" s="17" t="s">
        <v>11</v>
      </c>
      <c r="B73" s="17" t="s">
        <v>12</v>
      </c>
      <c r="C73" s="18">
        <v>45768</v>
      </c>
      <c r="D73" s="16">
        <v>85</v>
      </c>
      <c r="E73" s="16">
        <v>35</v>
      </c>
      <c r="F73" s="17">
        <v>2975</v>
      </c>
      <c r="G73" s="17">
        <v>595</v>
      </c>
      <c r="H73" s="19" t="s">
        <v>40</v>
      </c>
      <c r="J73" s="2"/>
      <c r="K73" s="2"/>
      <c r="L73" s="6"/>
      <c r="T73" s="21" t="s">
        <v>83</v>
      </c>
      <c r="V73" s="22" t="str">
        <f t="shared" si="4"/>
        <v>FURNITURE</v>
      </c>
      <c r="W73" s="22" t="str">
        <f t="shared" si="5"/>
        <v>furniture</v>
      </c>
      <c r="X73" s="22" t="str">
        <f t="shared" si="6"/>
        <v>Furniture</v>
      </c>
      <c r="AA73" t="s">
        <v>102</v>
      </c>
      <c r="AB73" t="str">
        <f t="shared" si="7"/>
        <v>Grocery Sugar</v>
      </c>
    </row>
    <row r="74" spans="1:28" ht="19.5" thickTop="1" thickBot="1" x14ac:dyDescent="0.3">
      <c r="A74" s="17" t="s">
        <v>13</v>
      </c>
      <c r="B74" s="17" t="s">
        <v>22</v>
      </c>
      <c r="C74" s="18">
        <v>45769</v>
      </c>
      <c r="D74" s="16">
        <v>21000</v>
      </c>
      <c r="E74" s="16">
        <v>1</v>
      </c>
      <c r="F74" s="17">
        <v>21000</v>
      </c>
      <c r="G74" s="17">
        <v>4200</v>
      </c>
      <c r="H74" s="19" t="s">
        <v>41</v>
      </c>
      <c r="J74" s="2"/>
      <c r="K74" s="2"/>
      <c r="L74" s="6"/>
      <c r="T74" s="21" t="s">
        <v>81</v>
      </c>
      <c r="V74" s="22" t="str">
        <f t="shared" si="4"/>
        <v>ELECTRONICS</v>
      </c>
      <c r="W74" s="22" t="str">
        <f t="shared" si="5"/>
        <v>electronics</v>
      </c>
      <c r="X74" s="22" t="str">
        <f t="shared" si="6"/>
        <v>Electronics</v>
      </c>
      <c r="AA74" t="s">
        <v>103</v>
      </c>
      <c r="AB74" t="str">
        <f t="shared" si="7"/>
        <v>Furniture Sofa</v>
      </c>
    </row>
    <row r="75" spans="1:28" ht="19.5" thickTop="1" thickBot="1" x14ac:dyDescent="0.3">
      <c r="A75" s="17" t="s">
        <v>6</v>
      </c>
      <c r="B75" s="17" t="s">
        <v>7</v>
      </c>
      <c r="C75" s="18">
        <v>45770</v>
      </c>
      <c r="D75" s="16">
        <v>60000</v>
      </c>
      <c r="E75" s="16">
        <v>1</v>
      </c>
      <c r="F75" s="17">
        <v>60000</v>
      </c>
      <c r="G75" s="17">
        <v>12000</v>
      </c>
      <c r="H75" s="19" t="s">
        <v>42</v>
      </c>
      <c r="J75" s="2"/>
      <c r="K75" s="2"/>
      <c r="L75" s="6"/>
      <c r="T75" s="21" t="s">
        <v>44</v>
      </c>
      <c r="V75" s="22" t="str">
        <f t="shared" si="4"/>
        <v>CLOTHING</v>
      </c>
      <c r="W75" s="22" t="str">
        <f t="shared" si="5"/>
        <v>clothing</v>
      </c>
      <c r="X75" s="22" t="str">
        <f t="shared" si="6"/>
        <v>Clothing</v>
      </c>
      <c r="AA75" t="s">
        <v>91</v>
      </c>
      <c r="AB75" t="str">
        <f t="shared" si="7"/>
        <v>Electronics Laptop</v>
      </c>
    </row>
    <row r="76" spans="1:28" ht="19.5" thickTop="1" thickBot="1" x14ac:dyDescent="0.3">
      <c r="A76" s="17" t="s">
        <v>9</v>
      </c>
      <c r="B76" s="17" t="s">
        <v>23</v>
      </c>
      <c r="C76" s="18">
        <v>45771</v>
      </c>
      <c r="D76" s="16">
        <v>750</v>
      </c>
      <c r="E76" s="16">
        <v>6</v>
      </c>
      <c r="F76" s="17">
        <v>4500</v>
      </c>
      <c r="G76" s="17">
        <v>900</v>
      </c>
      <c r="H76" s="19" t="s">
        <v>38</v>
      </c>
      <c r="J76" s="2"/>
      <c r="K76" s="2"/>
      <c r="L76" s="6"/>
      <c r="T76" s="21" t="s">
        <v>82</v>
      </c>
      <c r="V76" s="22" t="str">
        <f t="shared" si="4"/>
        <v>GROCERY</v>
      </c>
      <c r="W76" s="22" t="str">
        <f t="shared" si="5"/>
        <v>grocery</v>
      </c>
      <c r="X76" s="22" t="str">
        <f t="shared" si="6"/>
        <v>Grocery</v>
      </c>
      <c r="AA76" t="s">
        <v>104</v>
      </c>
      <c r="AB76" t="str">
        <f t="shared" si="7"/>
        <v>Clothing T-shirt</v>
      </c>
    </row>
    <row r="77" spans="1:28" ht="19.5" thickTop="1" thickBot="1" x14ac:dyDescent="0.3">
      <c r="A77" s="17" t="s">
        <v>11</v>
      </c>
      <c r="B77" s="17" t="s">
        <v>24</v>
      </c>
      <c r="C77" s="18">
        <v>45772</v>
      </c>
      <c r="D77" s="16">
        <v>70</v>
      </c>
      <c r="E77" s="16">
        <v>30</v>
      </c>
      <c r="F77" s="17">
        <v>2100</v>
      </c>
      <c r="G77" s="17">
        <v>420</v>
      </c>
      <c r="H77" s="19" t="s">
        <v>39</v>
      </c>
      <c r="J77" s="2"/>
      <c r="K77" s="2"/>
      <c r="L77" s="6"/>
      <c r="T77" s="21" t="s">
        <v>83</v>
      </c>
      <c r="V77" s="22" t="str">
        <f t="shared" si="4"/>
        <v>FURNITURE</v>
      </c>
      <c r="W77" s="22" t="str">
        <f t="shared" si="5"/>
        <v>furniture</v>
      </c>
      <c r="X77" s="22" t="str">
        <f t="shared" si="6"/>
        <v>Furniture</v>
      </c>
      <c r="AA77" t="s">
        <v>105</v>
      </c>
      <c r="AB77" t="str">
        <f t="shared" si="7"/>
        <v>Grocery Wheat</v>
      </c>
    </row>
    <row r="78" spans="1:28" ht="19.5" thickTop="1" thickBot="1" x14ac:dyDescent="0.3">
      <c r="A78" s="17" t="s">
        <v>13</v>
      </c>
      <c r="B78" s="17" t="s">
        <v>25</v>
      </c>
      <c r="C78" s="18">
        <v>45773</v>
      </c>
      <c r="D78" s="16">
        <v>33000</v>
      </c>
      <c r="E78" s="16">
        <v>1</v>
      </c>
      <c r="F78" s="17">
        <v>33000</v>
      </c>
      <c r="G78" s="17">
        <v>6600</v>
      </c>
      <c r="H78" s="19" t="s">
        <v>40</v>
      </c>
      <c r="J78" s="2"/>
      <c r="K78" s="2"/>
      <c r="L78" s="6"/>
      <c r="T78" s="21" t="s">
        <v>81</v>
      </c>
      <c r="V78" s="22" t="str">
        <f t="shared" si="4"/>
        <v>ELECTRONICS</v>
      </c>
      <c r="W78" s="22" t="str">
        <f t="shared" si="5"/>
        <v>electronics</v>
      </c>
      <c r="X78" s="22" t="str">
        <f t="shared" si="6"/>
        <v>Electronics</v>
      </c>
      <c r="AA78" t="s">
        <v>106</v>
      </c>
      <c r="AB78" t="str">
        <f t="shared" si="7"/>
        <v>Furniture Bed</v>
      </c>
    </row>
    <row r="79" spans="1:28" ht="19.5" thickTop="1" thickBot="1" x14ac:dyDescent="0.3">
      <c r="A79" s="17" t="s">
        <v>6</v>
      </c>
      <c r="B79" s="17" t="s">
        <v>8</v>
      </c>
      <c r="C79" s="18">
        <v>45774</v>
      </c>
      <c r="D79" s="16">
        <v>23000</v>
      </c>
      <c r="E79" s="16">
        <v>1</v>
      </c>
      <c r="F79" s="17">
        <v>23000</v>
      </c>
      <c r="G79" s="17">
        <v>4600</v>
      </c>
      <c r="H79" s="19" t="s">
        <v>41</v>
      </c>
      <c r="J79" s="2"/>
      <c r="K79" s="2"/>
      <c r="L79" s="6"/>
      <c r="T79" s="21" t="s">
        <v>44</v>
      </c>
      <c r="V79" s="22" t="str">
        <f t="shared" si="4"/>
        <v>CLOTHING</v>
      </c>
      <c r="W79" s="22" t="str">
        <f t="shared" si="5"/>
        <v>clothing</v>
      </c>
      <c r="X79" s="22" t="str">
        <f t="shared" si="6"/>
        <v>Clothing</v>
      </c>
      <c r="AA79" t="s">
        <v>92</v>
      </c>
      <c r="AB79" t="str">
        <f t="shared" si="7"/>
        <v>Electronics Mobile</v>
      </c>
    </row>
    <row r="80" spans="1:28" ht="19.5" thickTop="1" thickBot="1" x14ac:dyDescent="0.3">
      <c r="A80" s="17" t="s">
        <v>9</v>
      </c>
      <c r="B80" s="17" t="s">
        <v>16</v>
      </c>
      <c r="C80" s="18">
        <v>45775</v>
      </c>
      <c r="D80" s="16">
        <v>2200</v>
      </c>
      <c r="E80" s="16">
        <v>2</v>
      </c>
      <c r="F80" s="17">
        <v>4400</v>
      </c>
      <c r="G80" s="17">
        <v>880</v>
      </c>
      <c r="H80" s="19" t="s">
        <v>42</v>
      </c>
      <c r="J80" s="2"/>
      <c r="K80" s="2"/>
      <c r="L80" s="6"/>
      <c r="T80" s="21" t="s">
        <v>82</v>
      </c>
      <c r="V80" s="22" t="str">
        <f t="shared" si="4"/>
        <v>GROCERY</v>
      </c>
      <c r="W80" s="22" t="str">
        <f t="shared" si="5"/>
        <v>grocery</v>
      </c>
      <c r="X80" s="22" t="str">
        <f t="shared" si="6"/>
        <v>Grocery</v>
      </c>
      <c r="AA80" t="s">
        <v>97</v>
      </c>
      <c r="AB80" t="str">
        <f t="shared" si="7"/>
        <v>Clothing Jeans</v>
      </c>
    </row>
    <row r="81" spans="1:28" ht="19.5" thickTop="1" thickBot="1" x14ac:dyDescent="0.3">
      <c r="A81" s="17" t="s">
        <v>11</v>
      </c>
      <c r="B81" s="17" t="s">
        <v>17</v>
      </c>
      <c r="C81" s="18">
        <v>45776</v>
      </c>
      <c r="D81" s="16">
        <v>155</v>
      </c>
      <c r="E81" s="16">
        <v>20</v>
      </c>
      <c r="F81" s="17">
        <v>3100</v>
      </c>
      <c r="G81" s="17">
        <v>620</v>
      </c>
      <c r="H81" s="19" t="s">
        <v>38</v>
      </c>
      <c r="J81" s="2"/>
      <c r="K81" s="2"/>
      <c r="L81" s="6"/>
      <c r="T81" s="21" t="s">
        <v>83</v>
      </c>
      <c r="V81" s="22" t="str">
        <f t="shared" si="4"/>
        <v>FURNITURE</v>
      </c>
      <c r="W81" s="22" t="str">
        <f t="shared" si="5"/>
        <v>furniture</v>
      </c>
      <c r="X81" s="22" t="str">
        <f t="shared" si="6"/>
        <v>Furniture</v>
      </c>
      <c r="AA81" t="s">
        <v>98</v>
      </c>
      <c r="AB81" t="str">
        <f t="shared" si="7"/>
        <v>Grocery Oil</v>
      </c>
    </row>
    <row r="82" spans="1:28" ht="19.5" thickTop="1" thickBot="1" x14ac:dyDescent="0.3">
      <c r="A82" s="17" t="s">
        <v>13</v>
      </c>
      <c r="B82" s="17" t="s">
        <v>14</v>
      </c>
      <c r="C82" s="18">
        <v>45777</v>
      </c>
      <c r="D82" s="16">
        <v>2600</v>
      </c>
      <c r="E82" s="16">
        <v>2</v>
      </c>
      <c r="F82" s="17">
        <v>5200</v>
      </c>
      <c r="G82" s="17">
        <v>1040</v>
      </c>
      <c r="H82" s="19" t="s">
        <v>39</v>
      </c>
      <c r="J82" s="2"/>
      <c r="K82" s="2"/>
      <c r="L82" s="6"/>
      <c r="T82" s="21" t="s">
        <v>81</v>
      </c>
      <c r="V82" s="22" t="str">
        <f t="shared" si="4"/>
        <v>ELECTRONICS</v>
      </c>
      <c r="W82" s="22" t="str">
        <f t="shared" si="5"/>
        <v>electronics</v>
      </c>
      <c r="X82" s="22" t="str">
        <f t="shared" si="6"/>
        <v>Electronics</v>
      </c>
      <c r="AA82" t="s">
        <v>95</v>
      </c>
      <c r="AB82" t="str">
        <f t="shared" si="7"/>
        <v>Furniture Chair</v>
      </c>
    </row>
    <row r="83" spans="1:28" ht="19.5" thickTop="1" thickBot="1" x14ac:dyDescent="0.3">
      <c r="A83" s="17" t="s">
        <v>6</v>
      </c>
      <c r="B83" s="17" t="s">
        <v>15</v>
      </c>
      <c r="C83" s="18">
        <v>45778</v>
      </c>
      <c r="D83" s="16">
        <v>17000</v>
      </c>
      <c r="E83" s="16">
        <v>2</v>
      </c>
      <c r="F83" s="17">
        <v>34000</v>
      </c>
      <c r="G83" s="17">
        <v>6800</v>
      </c>
      <c r="H83" s="19" t="s">
        <v>42</v>
      </c>
      <c r="J83" s="2"/>
      <c r="K83" s="2"/>
      <c r="L83" s="6"/>
      <c r="T83" s="21" t="s">
        <v>44</v>
      </c>
      <c r="V83" s="22" t="str">
        <f t="shared" si="4"/>
        <v>CLOTHING</v>
      </c>
      <c r="W83" s="22" t="str">
        <f t="shared" si="5"/>
        <v>clothing</v>
      </c>
      <c r="X83" s="22" t="str">
        <f t="shared" si="6"/>
        <v>Clothing</v>
      </c>
      <c r="AA83" t="s">
        <v>96</v>
      </c>
      <c r="AB83" t="str">
        <f t="shared" si="7"/>
        <v>Electronics Tablet</v>
      </c>
    </row>
    <row r="84" spans="1:28" ht="19.5" thickTop="1" thickBot="1" x14ac:dyDescent="0.3">
      <c r="A84" s="17" t="s">
        <v>9</v>
      </c>
      <c r="B84" s="17" t="s">
        <v>10</v>
      </c>
      <c r="C84" s="18">
        <v>45779</v>
      </c>
      <c r="D84" s="16">
        <v>1350</v>
      </c>
      <c r="E84" s="16">
        <v>3</v>
      </c>
      <c r="F84" s="17">
        <v>4050</v>
      </c>
      <c r="G84" s="17">
        <v>810</v>
      </c>
      <c r="H84" s="19" t="s">
        <v>41</v>
      </c>
      <c r="J84" s="2"/>
      <c r="K84" s="2"/>
      <c r="L84" s="6"/>
      <c r="T84" s="21" t="s">
        <v>82</v>
      </c>
      <c r="V84" s="22" t="str">
        <f t="shared" si="4"/>
        <v>GROCERY</v>
      </c>
      <c r="W84" s="22" t="str">
        <f t="shared" si="5"/>
        <v>grocery</v>
      </c>
      <c r="X84" s="22" t="str">
        <f t="shared" si="6"/>
        <v>Grocery</v>
      </c>
    </row>
    <row r="85" spans="1:28" ht="19.5" thickTop="1" thickBot="1" x14ac:dyDescent="0.3">
      <c r="A85" s="17" t="s">
        <v>11</v>
      </c>
      <c r="B85" s="17" t="s">
        <v>12</v>
      </c>
      <c r="C85" s="18">
        <v>45780</v>
      </c>
      <c r="D85" s="16">
        <v>90</v>
      </c>
      <c r="E85" s="16">
        <v>40</v>
      </c>
      <c r="F85" s="17">
        <v>3600</v>
      </c>
      <c r="G85" s="17">
        <v>720</v>
      </c>
      <c r="H85" s="19" t="s">
        <v>42</v>
      </c>
      <c r="J85" s="2"/>
      <c r="K85" s="2"/>
      <c r="L85" s="6"/>
      <c r="T85" s="21" t="s">
        <v>83</v>
      </c>
      <c r="V85" s="22" t="str">
        <f t="shared" si="4"/>
        <v>FURNITURE</v>
      </c>
      <c r="W85" s="22" t="str">
        <f t="shared" si="5"/>
        <v>furniture</v>
      </c>
      <c r="X85" s="22" t="str">
        <f t="shared" si="6"/>
        <v>Furniture</v>
      </c>
    </row>
    <row r="86" spans="1:28" ht="19.5" thickTop="1" thickBot="1" x14ac:dyDescent="0.3">
      <c r="A86" s="17" t="s">
        <v>13</v>
      </c>
      <c r="B86" s="17" t="s">
        <v>18</v>
      </c>
      <c r="C86" s="18">
        <v>45781</v>
      </c>
      <c r="D86" s="16">
        <v>6500</v>
      </c>
      <c r="E86" s="16">
        <v>1</v>
      </c>
      <c r="F86" s="17">
        <v>6500</v>
      </c>
      <c r="G86" s="17">
        <v>1300</v>
      </c>
      <c r="H86" s="19" t="s">
        <v>38</v>
      </c>
      <c r="J86" s="2"/>
      <c r="K86" s="2"/>
      <c r="L86" s="6"/>
      <c r="T86" s="21" t="s">
        <v>81</v>
      </c>
      <c r="V86" s="22" t="str">
        <f t="shared" si="4"/>
        <v>ELECTRONICS</v>
      </c>
      <c r="W86" s="22" t="str">
        <f t="shared" si="5"/>
        <v>electronics</v>
      </c>
      <c r="X86" s="22" t="str">
        <f t="shared" si="6"/>
        <v>Electronics</v>
      </c>
    </row>
    <row r="87" spans="1:28" ht="30" thickTop="1" thickBot="1" x14ac:dyDescent="0.3">
      <c r="A87" s="17" t="s">
        <v>6</v>
      </c>
      <c r="B87" s="17" t="s">
        <v>19</v>
      </c>
      <c r="C87" s="18">
        <v>45782</v>
      </c>
      <c r="D87" s="16">
        <v>3200</v>
      </c>
      <c r="E87" s="16">
        <v>2</v>
      </c>
      <c r="F87" s="17">
        <v>6400</v>
      </c>
      <c r="G87" s="17">
        <v>1280</v>
      </c>
      <c r="H87" s="19" t="s">
        <v>39</v>
      </c>
      <c r="J87" s="2"/>
      <c r="K87" s="2"/>
      <c r="L87" s="6"/>
      <c r="T87" s="21" t="s">
        <v>44</v>
      </c>
      <c r="V87" s="22" t="str">
        <f t="shared" si="4"/>
        <v>CLOTHING</v>
      </c>
      <c r="W87" s="22" t="str">
        <f t="shared" si="5"/>
        <v>clothing</v>
      </c>
      <c r="X87" s="22" t="str">
        <f t="shared" si="6"/>
        <v>Clothing</v>
      </c>
    </row>
    <row r="88" spans="1:28" ht="19.5" thickTop="1" thickBot="1" x14ac:dyDescent="0.3">
      <c r="A88" s="17" t="s">
        <v>9</v>
      </c>
      <c r="B88" s="17" t="s">
        <v>20</v>
      </c>
      <c r="C88" s="18">
        <v>45783</v>
      </c>
      <c r="D88" s="16">
        <v>3600</v>
      </c>
      <c r="E88" s="16">
        <v>1</v>
      </c>
      <c r="F88" s="17">
        <v>3600</v>
      </c>
      <c r="G88" s="17">
        <v>720</v>
      </c>
      <c r="H88" s="19" t="s">
        <v>40</v>
      </c>
      <c r="J88" s="2"/>
      <c r="K88" s="2"/>
      <c r="L88" s="6"/>
      <c r="T88" s="21" t="s">
        <v>82</v>
      </c>
      <c r="V88" s="22" t="str">
        <f t="shared" si="4"/>
        <v>GROCERY</v>
      </c>
      <c r="W88" s="22" t="str">
        <f t="shared" si="5"/>
        <v>grocery</v>
      </c>
      <c r="X88" s="22" t="str">
        <f t="shared" si="6"/>
        <v>Grocery</v>
      </c>
    </row>
    <row r="89" spans="1:28" ht="19.5" thickTop="1" thickBot="1" x14ac:dyDescent="0.3">
      <c r="A89" s="17" t="s">
        <v>11</v>
      </c>
      <c r="B89" s="17" t="s">
        <v>21</v>
      </c>
      <c r="C89" s="18">
        <v>45784</v>
      </c>
      <c r="D89" s="16">
        <v>48</v>
      </c>
      <c r="E89" s="16">
        <v>50</v>
      </c>
      <c r="F89" s="17">
        <v>2400</v>
      </c>
      <c r="G89" s="17">
        <v>480</v>
      </c>
      <c r="H89" s="19" t="s">
        <v>41</v>
      </c>
      <c r="J89" s="2"/>
      <c r="K89" s="2"/>
      <c r="L89" s="6"/>
      <c r="T89" s="21" t="s">
        <v>83</v>
      </c>
      <c r="V89" s="22" t="str">
        <f t="shared" si="4"/>
        <v>FURNITURE</v>
      </c>
      <c r="W89" s="22" t="str">
        <f t="shared" si="5"/>
        <v>furniture</v>
      </c>
      <c r="X89" s="22" t="str">
        <f t="shared" si="6"/>
        <v>Furniture</v>
      </c>
    </row>
    <row r="90" spans="1:28" ht="19.5" thickTop="1" thickBot="1" x14ac:dyDescent="0.3">
      <c r="A90" s="17" t="s">
        <v>13</v>
      </c>
      <c r="B90" s="17" t="s">
        <v>22</v>
      </c>
      <c r="C90" s="18">
        <v>45785</v>
      </c>
      <c r="D90" s="16">
        <v>22000</v>
      </c>
      <c r="E90" s="16">
        <v>1</v>
      </c>
      <c r="F90" s="17">
        <v>22000</v>
      </c>
      <c r="G90" s="17">
        <v>4400</v>
      </c>
      <c r="H90" s="19" t="s">
        <v>42</v>
      </c>
      <c r="J90" s="2"/>
      <c r="K90" s="2"/>
      <c r="L90" s="6"/>
      <c r="T90" s="21" t="s">
        <v>81</v>
      </c>
      <c r="V90" s="22" t="str">
        <f t="shared" si="4"/>
        <v>ELECTRONICS</v>
      </c>
      <c r="W90" s="22" t="str">
        <f t="shared" si="5"/>
        <v>electronics</v>
      </c>
      <c r="X90" s="22" t="str">
        <f t="shared" si="6"/>
        <v>Electronics</v>
      </c>
    </row>
    <row r="91" spans="1:28" ht="19.5" thickTop="1" thickBot="1" x14ac:dyDescent="0.3">
      <c r="A91" s="17" t="s">
        <v>6</v>
      </c>
      <c r="B91" s="17" t="s">
        <v>7</v>
      </c>
      <c r="C91" s="18">
        <v>45786</v>
      </c>
      <c r="D91" s="16">
        <v>58000</v>
      </c>
      <c r="E91" s="16">
        <v>1</v>
      </c>
      <c r="F91" s="17">
        <v>58000</v>
      </c>
      <c r="G91" s="17">
        <v>11600</v>
      </c>
      <c r="H91" s="19" t="s">
        <v>38</v>
      </c>
      <c r="J91" s="2"/>
      <c r="K91" s="2"/>
      <c r="L91" s="6"/>
      <c r="T91" s="21" t="s">
        <v>44</v>
      </c>
      <c r="V91" s="22" t="str">
        <f t="shared" si="4"/>
        <v>CLOTHING</v>
      </c>
      <c r="W91" s="22" t="str">
        <f t="shared" si="5"/>
        <v>clothing</v>
      </c>
      <c r="X91" s="22" t="str">
        <f t="shared" si="6"/>
        <v>Clothing</v>
      </c>
    </row>
    <row r="92" spans="1:28" ht="19.5" thickTop="1" thickBot="1" x14ac:dyDescent="0.3">
      <c r="A92" s="17" t="s">
        <v>9</v>
      </c>
      <c r="B92" s="17" t="s">
        <v>23</v>
      </c>
      <c r="C92" s="18">
        <v>45787</v>
      </c>
      <c r="D92" s="16">
        <v>800</v>
      </c>
      <c r="E92" s="16">
        <v>4</v>
      </c>
      <c r="F92" s="17">
        <v>3200</v>
      </c>
      <c r="G92" s="17">
        <v>640</v>
      </c>
      <c r="H92" s="19" t="s">
        <v>39</v>
      </c>
      <c r="J92" s="2"/>
      <c r="K92" s="2"/>
      <c r="L92" s="6"/>
      <c r="T92" s="21" t="s">
        <v>82</v>
      </c>
      <c r="V92" s="22" t="str">
        <f t="shared" si="4"/>
        <v>GROCERY</v>
      </c>
      <c r="W92" s="22" t="str">
        <f t="shared" si="5"/>
        <v>grocery</v>
      </c>
      <c r="X92" s="22" t="str">
        <f t="shared" si="6"/>
        <v>Grocery</v>
      </c>
    </row>
    <row r="93" spans="1:28" ht="19.5" thickTop="1" thickBot="1" x14ac:dyDescent="0.3">
      <c r="A93" s="17" t="s">
        <v>11</v>
      </c>
      <c r="B93" s="17" t="s">
        <v>24</v>
      </c>
      <c r="C93" s="18">
        <v>45788</v>
      </c>
      <c r="D93" s="16">
        <v>65</v>
      </c>
      <c r="E93" s="16">
        <v>45</v>
      </c>
      <c r="F93" s="17">
        <v>2925</v>
      </c>
      <c r="G93" s="17">
        <v>585</v>
      </c>
      <c r="H93" s="19" t="s">
        <v>40</v>
      </c>
      <c r="J93" s="2"/>
      <c r="K93" s="2"/>
      <c r="L93" s="6"/>
      <c r="T93" s="21" t="s">
        <v>83</v>
      </c>
      <c r="V93" s="22" t="str">
        <f t="shared" si="4"/>
        <v>FURNITURE</v>
      </c>
      <c r="W93" s="22" t="str">
        <f t="shared" si="5"/>
        <v>furniture</v>
      </c>
      <c r="X93" s="22" t="str">
        <f t="shared" si="6"/>
        <v>Furniture</v>
      </c>
    </row>
    <row r="94" spans="1:28" ht="19.5" thickTop="1" thickBot="1" x14ac:dyDescent="0.25">
      <c r="A94" s="17" t="s">
        <v>13</v>
      </c>
      <c r="B94" s="17" t="s">
        <v>25</v>
      </c>
      <c r="C94" s="18">
        <v>45789</v>
      </c>
      <c r="D94" s="16">
        <v>34000</v>
      </c>
      <c r="E94" s="16">
        <v>1</v>
      </c>
      <c r="F94" s="17">
        <v>34000</v>
      </c>
      <c r="G94" s="17">
        <v>6800</v>
      </c>
      <c r="H94" s="19" t="s">
        <v>41</v>
      </c>
      <c r="J94" s="2"/>
    </row>
    <row r="95" spans="1:28" ht="15" thickTop="1" x14ac:dyDescent="0.2"/>
  </sheetData>
  <conditionalFormatting sqref="A5:H94">
    <cfRule type="duplicateValues" dxfId="11" priority="1"/>
    <cfRule type="duplicateValues" dxfId="10" priority="3"/>
  </conditionalFormatting>
  <conditionalFormatting sqref="H69">
    <cfRule type="duplicateValues" dxfId="9" priority="2"/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0E43-D254-4F04-A125-B0B23FF09958}">
  <dimension ref="A2:AA97"/>
  <sheetViews>
    <sheetView zoomScale="86" zoomScaleNormal="98" workbookViewId="0">
      <selection activeCell="S18" sqref="S18"/>
    </sheetView>
  </sheetViews>
  <sheetFormatPr defaultRowHeight="14.25" x14ac:dyDescent="0.2"/>
  <cols>
    <col min="1" max="1" width="16.25" customWidth="1"/>
    <col min="2" max="2" width="10" customWidth="1"/>
    <col min="3" max="3" width="11.5" customWidth="1"/>
    <col min="4" max="4" width="8.375" customWidth="1"/>
    <col min="5" max="5" width="13.25" customWidth="1"/>
    <col min="6" max="6" width="10.625" customWidth="1"/>
    <col min="7" max="7" width="8.375" customWidth="1"/>
    <col min="9" max="9" width="13.375" customWidth="1"/>
    <col min="10" max="10" width="10.875" customWidth="1"/>
    <col min="11" max="11" width="11.5" customWidth="1"/>
    <col min="12" max="12" width="10.375" customWidth="1"/>
    <col min="13" max="13" width="11.375" customWidth="1"/>
    <col min="14" max="14" width="9.75" customWidth="1"/>
    <col min="15" max="15" width="10.625" customWidth="1"/>
    <col min="16" max="16" width="12.375" customWidth="1"/>
    <col min="17" max="17" width="15.25" customWidth="1"/>
    <col min="19" max="19" width="13.25" customWidth="1"/>
    <col min="21" max="21" width="13.375" customWidth="1"/>
    <col min="26" max="26" width="9.75" customWidth="1"/>
    <col min="27" max="27" width="9.25" customWidth="1"/>
  </cols>
  <sheetData>
    <row r="2" spans="1:27" ht="23.25" x14ac:dyDescent="0.35">
      <c r="G2" s="51" t="s">
        <v>121</v>
      </c>
    </row>
    <row r="3" spans="1:27" ht="20.25" x14ac:dyDescent="0.3">
      <c r="C3" s="52" t="s">
        <v>122</v>
      </c>
      <c r="K3" s="53" t="s">
        <v>123</v>
      </c>
    </row>
    <row r="4" spans="1:27" x14ac:dyDescent="0.2">
      <c r="S4" s="56"/>
    </row>
    <row r="5" spans="1:27" ht="23.25" x14ac:dyDescent="0.35">
      <c r="A5" s="47" t="s">
        <v>26</v>
      </c>
      <c r="B5" s="47" t="s">
        <v>0</v>
      </c>
      <c r="C5" s="47" t="s">
        <v>1</v>
      </c>
      <c r="D5" s="47" t="s">
        <v>2</v>
      </c>
      <c r="E5" s="47" t="s">
        <v>3</v>
      </c>
      <c r="F5" s="47" t="s">
        <v>4</v>
      </c>
      <c r="G5" s="47" t="s">
        <v>5</v>
      </c>
      <c r="H5" s="48"/>
      <c r="I5" s="47" t="s">
        <v>26</v>
      </c>
      <c r="J5" s="47" t="s">
        <v>0</v>
      </c>
      <c r="K5" s="47" t="s">
        <v>1</v>
      </c>
      <c r="L5" s="47" t="s">
        <v>2</v>
      </c>
      <c r="M5" s="47" t="s">
        <v>3</v>
      </c>
      <c r="N5" s="47" t="s">
        <v>4</v>
      </c>
      <c r="O5" s="47" t="s">
        <v>5</v>
      </c>
      <c r="P5" s="44"/>
      <c r="Q5" s="59" t="s">
        <v>126</v>
      </c>
      <c r="T5" s="60" t="s">
        <v>127</v>
      </c>
      <c r="W5" s="61" t="s">
        <v>128</v>
      </c>
      <c r="Z5" s="62" t="s">
        <v>129</v>
      </c>
    </row>
    <row r="6" spans="1:27" x14ac:dyDescent="0.2">
      <c r="A6" s="42" t="s">
        <v>6</v>
      </c>
      <c r="B6" s="42" t="s">
        <v>7</v>
      </c>
      <c r="C6" s="43">
        <v>45741</v>
      </c>
      <c r="D6" s="42">
        <v>55000</v>
      </c>
      <c r="E6" s="49">
        <v>2</v>
      </c>
      <c r="F6" s="42">
        <f t="shared" ref="F6:F37" si="0">(D6*E6)</f>
        <v>110000</v>
      </c>
      <c r="G6" s="42">
        <v>22000</v>
      </c>
      <c r="H6" s="44"/>
      <c r="I6" s="45" t="s">
        <v>11</v>
      </c>
      <c r="J6" s="45" t="s">
        <v>24</v>
      </c>
      <c r="K6" s="46">
        <v>45772</v>
      </c>
      <c r="L6" s="50">
        <v>70</v>
      </c>
      <c r="M6" s="50">
        <v>30</v>
      </c>
      <c r="N6" s="50">
        <f t="shared" ref="N6:N37" si="1">(L6*M6)</f>
        <v>2100</v>
      </c>
      <c r="O6" s="50">
        <v>420</v>
      </c>
      <c r="P6" s="44"/>
      <c r="Q6" s="44"/>
    </row>
    <row r="7" spans="1:27" ht="15" x14ac:dyDescent="0.2">
      <c r="A7" s="42" t="s">
        <v>6</v>
      </c>
      <c r="B7" s="42" t="s">
        <v>8</v>
      </c>
      <c r="C7" s="43">
        <v>45665</v>
      </c>
      <c r="D7" s="42">
        <v>20000</v>
      </c>
      <c r="E7" s="49">
        <v>3</v>
      </c>
      <c r="F7" s="42">
        <f t="shared" si="0"/>
        <v>60000</v>
      </c>
      <c r="G7" s="42">
        <v>12000</v>
      </c>
      <c r="H7" s="44"/>
      <c r="I7" s="45" t="s">
        <v>11</v>
      </c>
      <c r="J7" s="45" t="s">
        <v>21</v>
      </c>
      <c r="K7" s="46">
        <v>45748</v>
      </c>
      <c r="L7" s="50">
        <v>45</v>
      </c>
      <c r="M7" s="50">
        <v>50</v>
      </c>
      <c r="N7" s="50">
        <f t="shared" si="1"/>
        <v>2250</v>
      </c>
      <c r="O7" s="50">
        <v>450</v>
      </c>
      <c r="P7" s="44"/>
      <c r="Q7" s="44"/>
      <c r="S7" s="21"/>
      <c r="T7" s="21"/>
    </row>
    <row r="8" spans="1:27" ht="18" x14ac:dyDescent="0.25">
      <c r="A8" s="42" t="s">
        <v>6</v>
      </c>
      <c r="B8" s="42" t="s">
        <v>7</v>
      </c>
      <c r="C8" s="43">
        <v>45770</v>
      </c>
      <c r="D8" s="42">
        <v>60000</v>
      </c>
      <c r="E8" s="49">
        <v>1</v>
      </c>
      <c r="F8" s="42">
        <f t="shared" si="0"/>
        <v>60000</v>
      </c>
      <c r="G8" s="42">
        <v>12000</v>
      </c>
      <c r="H8" s="44"/>
      <c r="I8" s="45" t="s">
        <v>11</v>
      </c>
      <c r="J8" s="45" t="s">
        <v>24</v>
      </c>
      <c r="K8" s="46">
        <v>45706</v>
      </c>
      <c r="L8" s="50">
        <v>60</v>
      </c>
      <c r="M8" s="50">
        <v>40</v>
      </c>
      <c r="N8" s="50">
        <f t="shared" si="1"/>
        <v>2400</v>
      </c>
      <c r="O8" s="50">
        <v>480</v>
      </c>
      <c r="P8" s="54" t="s">
        <v>124</v>
      </c>
      <c r="Q8" s="57">
        <f>SUM(F6:F93)</f>
        <v>1466725</v>
      </c>
      <c r="R8" s="21"/>
      <c r="S8" s="65" t="s">
        <v>130</v>
      </c>
      <c r="T8" s="63">
        <f>AVERAGE(N6:N93)</f>
        <v>17894.602272727272</v>
      </c>
      <c r="V8" s="67" t="s">
        <v>0</v>
      </c>
      <c r="W8" s="68" t="s">
        <v>2</v>
      </c>
      <c r="Y8" s="67" t="s">
        <v>132</v>
      </c>
      <c r="Z8" s="72" t="s">
        <v>4</v>
      </c>
      <c r="AA8" s="67" t="s">
        <v>5</v>
      </c>
    </row>
    <row r="9" spans="1:27" ht="18" x14ac:dyDescent="0.25">
      <c r="A9" s="42" t="s">
        <v>6</v>
      </c>
      <c r="B9" s="42" t="s">
        <v>7</v>
      </c>
      <c r="C9" s="43">
        <v>45754</v>
      </c>
      <c r="D9" s="42">
        <v>59000</v>
      </c>
      <c r="E9" s="49">
        <v>1</v>
      </c>
      <c r="F9" s="42">
        <f t="shared" si="0"/>
        <v>59000</v>
      </c>
      <c r="G9" s="42">
        <v>11800</v>
      </c>
      <c r="H9" s="44"/>
      <c r="I9" s="45" t="s">
        <v>11</v>
      </c>
      <c r="J9" s="45" t="s">
        <v>21</v>
      </c>
      <c r="K9" s="46">
        <v>45784</v>
      </c>
      <c r="L9" s="50">
        <v>48</v>
      </c>
      <c r="M9" s="50">
        <v>50</v>
      </c>
      <c r="N9" s="50">
        <f t="shared" si="1"/>
        <v>2400</v>
      </c>
      <c r="O9" s="50">
        <v>480</v>
      </c>
      <c r="P9" s="55" t="s">
        <v>125</v>
      </c>
      <c r="Q9" s="58">
        <f>SUM(G6:G93)</f>
        <v>293345</v>
      </c>
      <c r="R9" s="21"/>
      <c r="S9" s="66" t="s">
        <v>131</v>
      </c>
      <c r="T9" s="64">
        <f>AVERAGE(O6:O93)</f>
        <v>3578.9204545454545</v>
      </c>
      <c r="V9" s="69" t="s">
        <v>17</v>
      </c>
      <c r="W9" s="70">
        <f>VLOOKUP(V9,$B$6:$D$93,3,FALSE)</f>
        <v>150</v>
      </c>
      <c r="Y9" s="69" t="s">
        <v>12</v>
      </c>
      <c r="Z9" s="73">
        <f>VLOOKUP(Y9,B5:$G$93,5,FALSE)</f>
        <v>4000</v>
      </c>
      <c r="AA9" s="74">
        <f>VLOOKUP(Y9,$B$5:$G$93,6,FALSE)</f>
        <v>800</v>
      </c>
    </row>
    <row r="10" spans="1:27" ht="18" x14ac:dyDescent="0.25">
      <c r="A10" s="42" t="s">
        <v>6</v>
      </c>
      <c r="B10" s="42" t="s">
        <v>7</v>
      </c>
      <c r="C10" s="43">
        <v>45700</v>
      </c>
      <c r="D10" s="42">
        <v>58000</v>
      </c>
      <c r="E10" s="49">
        <v>1</v>
      </c>
      <c r="F10" s="42">
        <f t="shared" si="0"/>
        <v>58000</v>
      </c>
      <c r="G10" s="42">
        <v>11600</v>
      </c>
      <c r="H10" s="44"/>
      <c r="I10" s="45" t="s">
        <v>11</v>
      </c>
      <c r="J10" s="45" t="s">
        <v>24</v>
      </c>
      <c r="K10" s="46">
        <v>45736</v>
      </c>
      <c r="L10" s="50">
        <v>65</v>
      </c>
      <c r="M10" s="50">
        <v>40</v>
      </c>
      <c r="N10" s="50">
        <f t="shared" si="1"/>
        <v>2600</v>
      </c>
      <c r="O10" s="50">
        <v>520</v>
      </c>
      <c r="P10" s="80" t="s">
        <v>133</v>
      </c>
      <c r="Q10" s="81">
        <f>SUM(E6:E93)</f>
        <v>1007</v>
      </c>
      <c r="R10" s="21"/>
      <c r="S10" s="21"/>
      <c r="T10" s="21"/>
      <c r="V10" s="69" t="s">
        <v>12</v>
      </c>
      <c r="W10" s="71">
        <f>VLOOKUP(V10,$B$6:$D$93,3,FALSE)</f>
        <v>80</v>
      </c>
      <c r="Y10" s="69" t="s">
        <v>7</v>
      </c>
      <c r="Z10" s="75">
        <f>VLOOKUP(Y10,B6:$G$93,5,FALSE)</f>
        <v>110000</v>
      </c>
      <c r="AA10" s="76">
        <f>VLOOKUP(Y10,$B$5:$G$93,6,FALSE)</f>
        <v>22000</v>
      </c>
    </row>
    <row r="11" spans="1:27" ht="18" x14ac:dyDescent="0.25">
      <c r="A11" s="42" t="s">
        <v>6</v>
      </c>
      <c r="B11" s="42" t="s">
        <v>7</v>
      </c>
      <c r="C11" s="43">
        <v>45786</v>
      </c>
      <c r="D11" s="42">
        <v>58000</v>
      </c>
      <c r="E11" s="49">
        <v>1</v>
      </c>
      <c r="F11" s="42">
        <f t="shared" si="0"/>
        <v>58000</v>
      </c>
      <c r="G11" s="42">
        <v>11600</v>
      </c>
      <c r="H11" s="44"/>
      <c r="I11" s="45" t="s">
        <v>11</v>
      </c>
      <c r="J11" s="45" t="s">
        <v>21</v>
      </c>
      <c r="K11" s="46">
        <v>45693</v>
      </c>
      <c r="L11" s="50">
        <v>45</v>
      </c>
      <c r="M11" s="50">
        <v>60</v>
      </c>
      <c r="N11" s="50">
        <f t="shared" si="1"/>
        <v>2700</v>
      </c>
      <c r="O11" s="50">
        <v>540</v>
      </c>
      <c r="P11" s="87" t="s">
        <v>135</v>
      </c>
      <c r="Q11" s="88">
        <f>SUM(Table6[Cost])</f>
        <v>1261380</v>
      </c>
      <c r="Y11" s="69" t="s">
        <v>17</v>
      </c>
      <c r="Z11" s="77">
        <f>VLOOKUP(Y11,B7:$G$93,5,FALSE)</f>
        <v>3750</v>
      </c>
      <c r="AA11" s="69">
        <f>VLOOKUP(Y11,$B$5:$G$93,6,FALSE)</f>
        <v>750</v>
      </c>
    </row>
    <row r="12" spans="1:27" ht="18" x14ac:dyDescent="0.25">
      <c r="A12" s="42" t="s">
        <v>6</v>
      </c>
      <c r="B12" s="42" t="s">
        <v>7</v>
      </c>
      <c r="C12" s="43">
        <v>45734</v>
      </c>
      <c r="D12" s="42">
        <v>57000</v>
      </c>
      <c r="E12" s="49">
        <v>1</v>
      </c>
      <c r="F12" s="42">
        <f t="shared" si="0"/>
        <v>57000</v>
      </c>
      <c r="G12" s="42">
        <v>11400</v>
      </c>
      <c r="H12" s="44"/>
      <c r="I12" s="45" t="s">
        <v>11</v>
      </c>
      <c r="J12" s="45" t="s">
        <v>12</v>
      </c>
      <c r="K12" s="46">
        <v>45740</v>
      </c>
      <c r="L12" s="50">
        <v>90</v>
      </c>
      <c r="M12" s="50">
        <v>30</v>
      </c>
      <c r="N12" s="50">
        <f t="shared" si="1"/>
        <v>2700</v>
      </c>
      <c r="O12" s="50">
        <v>540</v>
      </c>
      <c r="P12" s="44"/>
      <c r="Y12" s="22"/>
      <c r="Z12" s="22"/>
      <c r="AA12" s="22"/>
    </row>
    <row r="13" spans="1:27" x14ac:dyDescent="0.2">
      <c r="A13" s="42" t="s">
        <v>6</v>
      </c>
      <c r="B13" s="42" t="s">
        <v>7</v>
      </c>
      <c r="C13" s="43">
        <v>45721</v>
      </c>
      <c r="D13" s="42">
        <v>56000</v>
      </c>
      <c r="E13" s="49">
        <v>1</v>
      </c>
      <c r="F13" s="42">
        <f t="shared" si="0"/>
        <v>56000</v>
      </c>
      <c r="G13" s="42">
        <v>11200</v>
      </c>
      <c r="H13" s="44"/>
      <c r="I13" s="45" t="s">
        <v>11</v>
      </c>
      <c r="J13" s="45" t="s">
        <v>24</v>
      </c>
      <c r="K13" s="46">
        <v>45788</v>
      </c>
      <c r="L13" s="50">
        <v>65</v>
      </c>
      <c r="M13" s="50">
        <v>45</v>
      </c>
      <c r="N13" s="50">
        <f t="shared" si="1"/>
        <v>2925</v>
      </c>
      <c r="O13" s="50">
        <v>585</v>
      </c>
      <c r="P13" s="44"/>
      <c r="Q13" s="44"/>
    </row>
    <row r="14" spans="1:27" x14ac:dyDescent="0.2">
      <c r="A14" s="42" t="s">
        <v>6</v>
      </c>
      <c r="B14" s="42" t="s">
        <v>8</v>
      </c>
      <c r="C14" s="43">
        <v>45758</v>
      </c>
      <c r="D14" s="42">
        <v>24000</v>
      </c>
      <c r="E14" s="49">
        <v>2</v>
      </c>
      <c r="F14" s="42">
        <f t="shared" si="0"/>
        <v>48000</v>
      </c>
      <c r="G14" s="42">
        <v>9600</v>
      </c>
      <c r="H14" s="44"/>
      <c r="I14" s="45" t="s">
        <v>11</v>
      </c>
      <c r="J14" s="45" t="s">
        <v>12</v>
      </c>
      <c r="K14" s="46">
        <v>45768</v>
      </c>
      <c r="L14" s="50">
        <v>85</v>
      </c>
      <c r="M14" s="50">
        <v>35</v>
      </c>
      <c r="N14" s="50">
        <f t="shared" si="1"/>
        <v>2975</v>
      </c>
      <c r="O14" s="50">
        <v>595</v>
      </c>
      <c r="P14" s="44"/>
      <c r="Q14" s="44"/>
    </row>
    <row r="15" spans="1:27" x14ac:dyDescent="0.2">
      <c r="A15" s="42" t="s">
        <v>6</v>
      </c>
      <c r="B15" s="42" t="s">
        <v>8</v>
      </c>
      <c r="C15" s="43">
        <v>45738</v>
      </c>
      <c r="D15" s="42">
        <v>23000</v>
      </c>
      <c r="E15" s="49">
        <v>2</v>
      </c>
      <c r="F15" s="42">
        <f t="shared" si="0"/>
        <v>46000</v>
      </c>
      <c r="G15" s="42">
        <v>9200</v>
      </c>
      <c r="H15" s="44"/>
      <c r="I15" s="45" t="s">
        <v>11</v>
      </c>
      <c r="J15" s="45" t="s">
        <v>17</v>
      </c>
      <c r="K15" s="46">
        <v>45680</v>
      </c>
      <c r="L15" s="50">
        <v>150</v>
      </c>
      <c r="M15" s="50">
        <v>20</v>
      </c>
      <c r="N15" s="50">
        <f t="shared" si="1"/>
        <v>3000</v>
      </c>
      <c r="O15" s="50">
        <v>600</v>
      </c>
      <c r="P15" s="44"/>
      <c r="S15" s="85"/>
      <c r="U15" s="85"/>
    </row>
    <row r="16" spans="1:27" x14ac:dyDescent="0.2">
      <c r="A16" s="42" t="s">
        <v>6</v>
      </c>
      <c r="B16" s="42" t="s">
        <v>8</v>
      </c>
      <c r="C16" s="43">
        <v>45713</v>
      </c>
      <c r="D16" s="42">
        <v>22000</v>
      </c>
      <c r="E16" s="49">
        <v>2</v>
      </c>
      <c r="F16" s="42">
        <f t="shared" si="0"/>
        <v>44000</v>
      </c>
      <c r="G16" s="42">
        <v>8800</v>
      </c>
      <c r="H16" s="44"/>
      <c r="I16" s="45" t="s">
        <v>11</v>
      </c>
      <c r="J16" s="45" t="s">
        <v>21</v>
      </c>
      <c r="K16" s="46">
        <v>45728</v>
      </c>
      <c r="L16" s="50">
        <v>50</v>
      </c>
      <c r="M16" s="50">
        <v>60</v>
      </c>
      <c r="N16" s="50">
        <f t="shared" si="1"/>
        <v>3000</v>
      </c>
      <c r="O16" s="50">
        <v>600</v>
      </c>
      <c r="P16" s="44"/>
      <c r="Q16" s="44"/>
    </row>
    <row r="17" spans="1:21" x14ac:dyDescent="0.2">
      <c r="A17" s="42" t="s">
        <v>6</v>
      </c>
      <c r="B17" s="42" t="s">
        <v>8</v>
      </c>
      <c r="C17" s="43">
        <v>45722</v>
      </c>
      <c r="D17" s="42">
        <v>21000</v>
      </c>
      <c r="E17" s="49">
        <v>2</v>
      </c>
      <c r="F17" s="42">
        <f t="shared" si="0"/>
        <v>42000</v>
      </c>
      <c r="G17" s="42">
        <v>8400</v>
      </c>
      <c r="H17" s="44"/>
      <c r="I17" s="45" t="s">
        <v>11</v>
      </c>
      <c r="J17" s="45" t="s">
        <v>24</v>
      </c>
      <c r="K17" s="46">
        <v>45756</v>
      </c>
      <c r="L17" s="50">
        <v>60</v>
      </c>
      <c r="M17" s="50">
        <v>50</v>
      </c>
      <c r="N17" s="50">
        <f t="shared" si="1"/>
        <v>3000</v>
      </c>
      <c r="O17" s="50">
        <v>600</v>
      </c>
      <c r="P17" s="44"/>
      <c r="Q17" s="44"/>
    </row>
    <row r="18" spans="1:21" x14ac:dyDescent="0.2">
      <c r="A18" s="42" t="s">
        <v>6</v>
      </c>
      <c r="B18" s="42" t="s">
        <v>15</v>
      </c>
      <c r="C18" s="43">
        <v>45675</v>
      </c>
      <c r="D18" s="42">
        <v>18000</v>
      </c>
      <c r="E18" s="49">
        <v>2</v>
      </c>
      <c r="F18" s="42">
        <f t="shared" si="0"/>
        <v>36000</v>
      </c>
      <c r="G18" s="42">
        <v>7200</v>
      </c>
      <c r="H18" s="44"/>
      <c r="I18" s="45" t="s">
        <v>11</v>
      </c>
      <c r="J18" s="45" t="s">
        <v>17</v>
      </c>
      <c r="K18" s="46">
        <v>45732</v>
      </c>
      <c r="L18" s="50">
        <v>155</v>
      </c>
      <c r="M18" s="50">
        <v>20</v>
      </c>
      <c r="N18" s="50">
        <f t="shared" si="1"/>
        <v>3100</v>
      </c>
      <c r="O18" s="50">
        <v>620</v>
      </c>
      <c r="P18" s="44"/>
      <c r="Q18" s="44"/>
      <c r="S18" s="89"/>
      <c r="U18" s="86"/>
    </row>
    <row r="19" spans="1:21" x14ac:dyDescent="0.2">
      <c r="A19" s="42" t="s">
        <v>6</v>
      </c>
      <c r="B19" s="42" t="s">
        <v>15</v>
      </c>
      <c r="C19" s="43">
        <v>45726</v>
      </c>
      <c r="D19" s="42">
        <v>17000</v>
      </c>
      <c r="E19" s="49">
        <v>2</v>
      </c>
      <c r="F19" s="42">
        <f t="shared" si="0"/>
        <v>34000</v>
      </c>
      <c r="G19" s="42">
        <v>6800</v>
      </c>
      <c r="H19" s="44"/>
      <c r="I19" s="45" t="s">
        <v>11</v>
      </c>
      <c r="J19" s="45" t="s">
        <v>17</v>
      </c>
      <c r="K19" s="46">
        <v>45776</v>
      </c>
      <c r="L19" s="50">
        <v>155</v>
      </c>
      <c r="M19" s="50">
        <v>20</v>
      </c>
      <c r="N19" s="50">
        <f t="shared" si="1"/>
        <v>3100</v>
      </c>
      <c r="O19" s="50">
        <v>620</v>
      </c>
      <c r="P19" s="44"/>
      <c r="Q19" s="44"/>
    </row>
    <row r="20" spans="1:21" x14ac:dyDescent="0.2">
      <c r="A20" s="42" t="s">
        <v>6</v>
      </c>
      <c r="B20" s="42" t="s">
        <v>15</v>
      </c>
      <c r="C20" s="43">
        <v>45778</v>
      </c>
      <c r="D20" s="42">
        <v>17000</v>
      </c>
      <c r="E20" s="49">
        <v>2</v>
      </c>
      <c r="F20" s="42">
        <f t="shared" si="0"/>
        <v>34000</v>
      </c>
      <c r="G20" s="42">
        <v>6800</v>
      </c>
      <c r="H20" s="44"/>
      <c r="I20" s="45" t="s">
        <v>11</v>
      </c>
      <c r="J20" s="45" t="s">
        <v>17</v>
      </c>
      <c r="K20" s="46">
        <v>45760</v>
      </c>
      <c r="L20" s="50">
        <v>160</v>
      </c>
      <c r="M20" s="50">
        <v>20</v>
      </c>
      <c r="N20" s="50">
        <f t="shared" si="1"/>
        <v>3200</v>
      </c>
      <c r="O20" s="50">
        <v>640</v>
      </c>
      <c r="P20" s="44"/>
      <c r="Q20" s="44"/>
    </row>
    <row r="21" spans="1:21" x14ac:dyDescent="0.2">
      <c r="A21" s="42" t="s">
        <v>13</v>
      </c>
      <c r="B21" s="42" t="s">
        <v>25</v>
      </c>
      <c r="C21" s="43">
        <v>45789</v>
      </c>
      <c r="D21" s="42">
        <v>34000</v>
      </c>
      <c r="E21" s="49">
        <v>1</v>
      </c>
      <c r="F21" s="42">
        <f t="shared" si="0"/>
        <v>34000</v>
      </c>
      <c r="G21" s="42">
        <v>6800</v>
      </c>
      <c r="H21" s="44"/>
      <c r="I21" s="45" t="s">
        <v>9</v>
      </c>
      <c r="J21" s="45" t="s">
        <v>23</v>
      </c>
      <c r="K21" s="46">
        <v>45787</v>
      </c>
      <c r="L21" s="50">
        <v>800</v>
      </c>
      <c r="M21" s="50">
        <v>4</v>
      </c>
      <c r="N21" s="50">
        <f t="shared" si="1"/>
        <v>3200</v>
      </c>
      <c r="O21" s="50">
        <v>640</v>
      </c>
      <c r="P21" s="44"/>
      <c r="Q21" s="44"/>
    </row>
    <row r="22" spans="1:21" x14ac:dyDescent="0.2">
      <c r="A22" s="42" t="s">
        <v>13</v>
      </c>
      <c r="B22" s="42" t="s">
        <v>25</v>
      </c>
      <c r="C22" s="43">
        <v>45773</v>
      </c>
      <c r="D22" s="42">
        <v>33000</v>
      </c>
      <c r="E22" s="49">
        <v>1</v>
      </c>
      <c r="F22" s="42">
        <f t="shared" si="0"/>
        <v>33000</v>
      </c>
      <c r="G22" s="42">
        <v>6600</v>
      </c>
      <c r="H22" s="44"/>
      <c r="I22" s="45" t="s">
        <v>11</v>
      </c>
      <c r="J22" s="45" t="s">
        <v>12</v>
      </c>
      <c r="K22" s="46">
        <v>45724</v>
      </c>
      <c r="L22" s="50">
        <v>85</v>
      </c>
      <c r="M22" s="50">
        <v>40</v>
      </c>
      <c r="N22" s="50">
        <f t="shared" si="1"/>
        <v>3400</v>
      </c>
      <c r="O22" s="50">
        <v>680</v>
      </c>
      <c r="P22" s="44"/>
      <c r="Q22" s="44"/>
    </row>
    <row r="23" spans="1:21" x14ac:dyDescent="0.2">
      <c r="A23" s="42" t="s">
        <v>13</v>
      </c>
      <c r="B23" s="42" t="s">
        <v>25</v>
      </c>
      <c r="C23" s="43">
        <v>45737</v>
      </c>
      <c r="D23" s="42">
        <v>32000</v>
      </c>
      <c r="E23" s="49">
        <v>1</v>
      </c>
      <c r="F23" s="42">
        <f t="shared" si="0"/>
        <v>32000</v>
      </c>
      <c r="G23" s="42">
        <v>6400</v>
      </c>
      <c r="H23" s="44"/>
      <c r="I23" s="45" t="s">
        <v>11</v>
      </c>
      <c r="J23" s="45" t="s">
        <v>12</v>
      </c>
      <c r="K23" s="46">
        <v>45752</v>
      </c>
      <c r="L23" s="50">
        <v>80</v>
      </c>
      <c r="M23" s="50">
        <v>45</v>
      </c>
      <c r="N23" s="50">
        <f t="shared" si="1"/>
        <v>3600</v>
      </c>
      <c r="O23" s="50">
        <v>720</v>
      </c>
      <c r="P23" s="44"/>
      <c r="Q23" s="44"/>
    </row>
    <row r="24" spans="1:21" x14ac:dyDescent="0.2">
      <c r="A24" s="42" t="s">
        <v>6</v>
      </c>
      <c r="B24" s="42" t="s">
        <v>15</v>
      </c>
      <c r="C24" s="43">
        <v>45742</v>
      </c>
      <c r="D24" s="42">
        <v>16000</v>
      </c>
      <c r="E24" s="49">
        <v>2</v>
      </c>
      <c r="F24" s="42">
        <f t="shared" si="0"/>
        <v>32000</v>
      </c>
      <c r="G24" s="42">
        <v>6400</v>
      </c>
      <c r="H24" s="44"/>
      <c r="I24" s="45" t="s">
        <v>11</v>
      </c>
      <c r="J24" s="45" t="s">
        <v>12</v>
      </c>
      <c r="K24" s="46">
        <v>45780</v>
      </c>
      <c r="L24" s="50">
        <v>90</v>
      </c>
      <c r="M24" s="50">
        <v>40</v>
      </c>
      <c r="N24" s="50">
        <f t="shared" si="1"/>
        <v>3600</v>
      </c>
      <c r="O24" s="50">
        <v>720</v>
      </c>
      <c r="P24" s="44"/>
      <c r="Q24" s="44"/>
    </row>
    <row r="25" spans="1:21" x14ac:dyDescent="0.2">
      <c r="A25" s="42" t="s">
        <v>13</v>
      </c>
      <c r="B25" s="42" t="s">
        <v>25</v>
      </c>
      <c r="C25" s="43">
        <v>45757</v>
      </c>
      <c r="D25" s="42">
        <v>31000</v>
      </c>
      <c r="E25" s="49">
        <v>1</v>
      </c>
      <c r="F25" s="42">
        <f t="shared" si="0"/>
        <v>31000</v>
      </c>
      <c r="G25" s="42">
        <v>6200</v>
      </c>
      <c r="H25" s="44"/>
      <c r="I25" s="45" t="s">
        <v>9</v>
      </c>
      <c r="J25" s="45" t="s">
        <v>20</v>
      </c>
      <c r="K25" s="46">
        <v>45783</v>
      </c>
      <c r="L25" s="50">
        <v>3600</v>
      </c>
      <c r="M25" s="50">
        <v>1</v>
      </c>
      <c r="N25" s="50">
        <f t="shared" si="1"/>
        <v>3600</v>
      </c>
      <c r="O25" s="50">
        <v>720</v>
      </c>
      <c r="P25" s="44"/>
      <c r="Q25" s="44"/>
    </row>
    <row r="26" spans="1:21" x14ac:dyDescent="0.2">
      <c r="A26" s="42" t="s">
        <v>13</v>
      </c>
      <c r="B26" s="42" t="s">
        <v>25</v>
      </c>
      <c r="C26" s="43">
        <v>45709</v>
      </c>
      <c r="D26" s="42">
        <v>30000</v>
      </c>
      <c r="E26" s="49">
        <v>1</v>
      </c>
      <c r="F26" s="42">
        <f t="shared" si="0"/>
        <v>30000</v>
      </c>
      <c r="G26" s="42">
        <v>6000</v>
      </c>
      <c r="H26" s="44"/>
      <c r="I26" s="45" t="s">
        <v>9</v>
      </c>
      <c r="J26" s="45" t="s">
        <v>23</v>
      </c>
      <c r="K26" s="46">
        <v>45735</v>
      </c>
      <c r="L26" s="50">
        <v>750</v>
      </c>
      <c r="M26" s="50">
        <v>5</v>
      </c>
      <c r="N26" s="50">
        <f t="shared" si="1"/>
        <v>3750</v>
      </c>
      <c r="O26" s="50">
        <v>750</v>
      </c>
      <c r="P26" s="44"/>
      <c r="Q26" s="44"/>
    </row>
    <row r="27" spans="1:21" x14ac:dyDescent="0.2">
      <c r="A27" s="42" t="s">
        <v>6</v>
      </c>
      <c r="B27" s="42" t="s">
        <v>8</v>
      </c>
      <c r="C27" s="43">
        <v>45774</v>
      </c>
      <c r="D27" s="42">
        <v>23000</v>
      </c>
      <c r="E27" s="49">
        <v>1</v>
      </c>
      <c r="F27" s="42">
        <f t="shared" si="0"/>
        <v>23000</v>
      </c>
      <c r="G27" s="42">
        <v>4600</v>
      </c>
      <c r="H27" s="44"/>
      <c r="I27" s="45" t="s">
        <v>11</v>
      </c>
      <c r="J27" s="45" t="s">
        <v>17</v>
      </c>
      <c r="K27" s="46">
        <v>45744</v>
      </c>
      <c r="L27" s="50">
        <v>150</v>
      </c>
      <c r="M27" s="50">
        <v>25</v>
      </c>
      <c r="N27" s="50">
        <f t="shared" si="1"/>
        <v>3750</v>
      </c>
      <c r="O27" s="50">
        <v>750</v>
      </c>
      <c r="P27" s="44"/>
      <c r="Q27" s="44"/>
    </row>
    <row r="28" spans="1:21" x14ac:dyDescent="0.2">
      <c r="A28" s="42" t="s">
        <v>6</v>
      </c>
      <c r="B28" s="42" t="s">
        <v>8</v>
      </c>
      <c r="C28" s="43">
        <v>45750</v>
      </c>
      <c r="D28" s="42">
        <v>22000</v>
      </c>
      <c r="E28" s="49">
        <v>1</v>
      </c>
      <c r="F28" s="42">
        <f t="shared" si="0"/>
        <v>22000</v>
      </c>
      <c r="G28" s="42">
        <v>4400</v>
      </c>
      <c r="H28" s="44"/>
      <c r="I28" s="45" t="s">
        <v>11</v>
      </c>
      <c r="J28" s="45" t="s">
        <v>12</v>
      </c>
      <c r="K28" s="46">
        <v>45719</v>
      </c>
      <c r="L28" s="50">
        <v>85</v>
      </c>
      <c r="M28" s="50">
        <v>45</v>
      </c>
      <c r="N28" s="50">
        <f t="shared" si="1"/>
        <v>3825</v>
      </c>
      <c r="O28" s="50">
        <v>765</v>
      </c>
      <c r="P28" s="44"/>
      <c r="Q28" s="44"/>
    </row>
    <row r="29" spans="1:21" x14ac:dyDescent="0.2">
      <c r="A29" s="42" t="s">
        <v>13</v>
      </c>
      <c r="B29" s="42" t="s">
        <v>22</v>
      </c>
      <c r="C29" s="43">
        <v>45785</v>
      </c>
      <c r="D29" s="42">
        <v>22000</v>
      </c>
      <c r="E29" s="49">
        <v>1</v>
      </c>
      <c r="F29" s="42">
        <f t="shared" si="0"/>
        <v>22000</v>
      </c>
      <c r="G29" s="42">
        <v>4400</v>
      </c>
      <c r="H29" s="44"/>
      <c r="I29" s="45" t="s">
        <v>11</v>
      </c>
      <c r="J29" s="45" t="s">
        <v>12</v>
      </c>
      <c r="K29" s="46">
        <v>45669</v>
      </c>
      <c r="L29" s="50">
        <v>80</v>
      </c>
      <c r="M29" s="50">
        <v>50</v>
      </c>
      <c r="N29" s="50">
        <f t="shared" si="1"/>
        <v>4000</v>
      </c>
      <c r="O29" s="50">
        <v>800</v>
      </c>
      <c r="P29" s="44"/>
      <c r="Q29" s="44"/>
    </row>
    <row r="30" spans="1:21" x14ac:dyDescent="0.2">
      <c r="A30" s="42" t="s">
        <v>13</v>
      </c>
      <c r="B30" s="42" t="s">
        <v>22</v>
      </c>
      <c r="C30" s="43">
        <v>45733</v>
      </c>
      <c r="D30" s="42">
        <v>21000</v>
      </c>
      <c r="E30" s="49">
        <v>1</v>
      </c>
      <c r="F30" s="42">
        <f t="shared" si="0"/>
        <v>21000</v>
      </c>
      <c r="G30" s="42">
        <v>4200</v>
      </c>
      <c r="H30" s="44"/>
      <c r="I30" s="45" t="s">
        <v>9</v>
      </c>
      <c r="J30" s="45" t="s">
        <v>23</v>
      </c>
      <c r="K30" s="46">
        <v>45755</v>
      </c>
      <c r="L30" s="50">
        <v>800</v>
      </c>
      <c r="M30" s="50">
        <v>5</v>
      </c>
      <c r="N30" s="50">
        <f t="shared" si="1"/>
        <v>4000</v>
      </c>
      <c r="O30" s="50">
        <v>800</v>
      </c>
      <c r="P30" s="44"/>
      <c r="Q30" s="44"/>
    </row>
    <row r="31" spans="1:21" x14ac:dyDescent="0.2">
      <c r="A31" s="42" t="s">
        <v>13</v>
      </c>
      <c r="B31" s="42" t="s">
        <v>22</v>
      </c>
      <c r="C31" s="43">
        <v>45769</v>
      </c>
      <c r="D31" s="42">
        <v>21000</v>
      </c>
      <c r="E31" s="49">
        <v>1</v>
      </c>
      <c r="F31" s="42">
        <f t="shared" si="0"/>
        <v>21000</v>
      </c>
      <c r="G31" s="42">
        <v>4200</v>
      </c>
      <c r="H31" s="44"/>
      <c r="I31" s="45" t="s">
        <v>9</v>
      </c>
      <c r="J31" s="45" t="s">
        <v>10</v>
      </c>
      <c r="K31" s="46">
        <v>45779</v>
      </c>
      <c r="L31" s="50">
        <v>1350</v>
      </c>
      <c r="M31" s="50">
        <v>3</v>
      </c>
      <c r="N31" s="50">
        <f t="shared" si="1"/>
        <v>4050</v>
      </c>
      <c r="O31" s="50">
        <v>810</v>
      </c>
      <c r="P31" s="44"/>
      <c r="Q31" s="44"/>
    </row>
    <row r="32" spans="1:21" x14ac:dyDescent="0.2">
      <c r="A32" s="42" t="s">
        <v>13</v>
      </c>
      <c r="B32" s="42" t="s">
        <v>22</v>
      </c>
      <c r="C32" s="43">
        <v>45696</v>
      </c>
      <c r="D32" s="42">
        <v>20000</v>
      </c>
      <c r="E32" s="49">
        <v>1</v>
      </c>
      <c r="F32" s="42">
        <f t="shared" si="0"/>
        <v>20000</v>
      </c>
      <c r="G32" s="42">
        <v>4000</v>
      </c>
      <c r="H32" s="44"/>
      <c r="I32" s="45" t="s">
        <v>9</v>
      </c>
      <c r="J32" s="45" t="s">
        <v>23</v>
      </c>
      <c r="K32" s="46">
        <v>45703</v>
      </c>
      <c r="L32" s="50">
        <v>700</v>
      </c>
      <c r="M32" s="50">
        <v>6</v>
      </c>
      <c r="N32" s="50">
        <f t="shared" si="1"/>
        <v>4200</v>
      </c>
      <c r="O32" s="50">
        <v>840</v>
      </c>
      <c r="P32" s="44"/>
      <c r="Q32" s="44"/>
    </row>
    <row r="33" spans="1:17" x14ac:dyDescent="0.2">
      <c r="A33" s="42" t="s">
        <v>13</v>
      </c>
      <c r="B33" s="42" t="s">
        <v>22</v>
      </c>
      <c r="C33" s="43">
        <v>45753</v>
      </c>
      <c r="D33" s="42">
        <v>20000</v>
      </c>
      <c r="E33" s="49">
        <v>1</v>
      </c>
      <c r="F33" s="42">
        <f t="shared" si="0"/>
        <v>20000</v>
      </c>
      <c r="G33" s="42">
        <v>4000</v>
      </c>
      <c r="H33" s="44"/>
      <c r="I33" s="45" t="s">
        <v>9</v>
      </c>
      <c r="J33" s="45" t="s">
        <v>16</v>
      </c>
      <c r="K33" s="46">
        <v>45727</v>
      </c>
      <c r="L33" s="50">
        <v>2100</v>
      </c>
      <c r="M33" s="50">
        <v>2</v>
      </c>
      <c r="N33" s="50">
        <f t="shared" si="1"/>
        <v>4200</v>
      </c>
      <c r="O33" s="50">
        <v>840</v>
      </c>
      <c r="P33" s="44"/>
      <c r="Q33" s="44"/>
    </row>
    <row r="34" spans="1:17" x14ac:dyDescent="0.2">
      <c r="A34" s="42" t="s">
        <v>6</v>
      </c>
      <c r="B34" s="42" t="s">
        <v>15</v>
      </c>
      <c r="C34" s="43">
        <v>45762</v>
      </c>
      <c r="D34" s="42">
        <v>18000</v>
      </c>
      <c r="E34" s="49">
        <v>1</v>
      </c>
      <c r="F34" s="42">
        <f t="shared" si="0"/>
        <v>18000</v>
      </c>
      <c r="G34" s="42">
        <v>3600</v>
      </c>
      <c r="H34" s="44"/>
      <c r="I34" s="45" t="s">
        <v>9</v>
      </c>
      <c r="J34" s="45" t="s">
        <v>10</v>
      </c>
      <c r="K34" s="46">
        <v>45739</v>
      </c>
      <c r="L34" s="50">
        <v>1400</v>
      </c>
      <c r="M34" s="50">
        <v>3</v>
      </c>
      <c r="N34" s="50">
        <f t="shared" si="1"/>
        <v>4200</v>
      </c>
      <c r="O34" s="50">
        <v>840</v>
      </c>
      <c r="P34" s="44"/>
      <c r="Q34" s="44"/>
    </row>
    <row r="35" spans="1:17" x14ac:dyDescent="0.2">
      <c r="A35" s="42" t="s">
        <v>13</v>
      </c>
      <c r="B35" s="42" t="s">
        <v>18</v>
      </c>
      <c r="C35" s="43">
        <v>45682</v>
      </c>
      <c r="D35" s="42">
        <v>6000</v>
      </c>
      <c r="E35" s="49">
        <v>2</v>
      </c>
      <c r="F35" s="42">
        <f t="shared" si="0"/>
        <v>12000</v>
      </c>
      <c r="G35" s="42">
        <v>2400</v>
      </c>
      <c r="H35" s="44"/>
      <c r="I35" s="45" t="s">
        <v>9</v>
      </c>
      <c r="J35" s="45" t="s">
        <v>16</v>
      </c>
      <c r="K35" s="46">
        <v>45759</v>
      </c>
      <c r="L35" s="50">
        <v>2100</v>
      </c>
      <c r="M35" s="50">
        <v>2</v>
      </c>
      <c r="N35" s="50">
        <f t="shared" si="1"/>
        <v>4200</v>
      </c>
      <c r="O35" s="50">
        <v>840</v>
      </c>
      <c r="P35" s="44"/>
      <c r="Q35" s="44"/>
    </row>
    <row r="36" spans="1:17" x14ac:dyDescent="0.2">
      <c r="A36" s="42" t="s">
        <v>6</v>
      </c>
      <c r="B36" s="42" t="s">
        <v>19</v>
      </c>
      <c r="C36" s="43">
        <v>45685</v>
      </c>
      <c r="D36" s="42">
        <v>3000</v>
      </c>
      <c r="E36" s="49">
        <v>4</v>
      </c>
      <c r="F36" s="42">
        <f t="shared" si="0"/>
        <v>12000</v>
      </c>
      <c r="G36" s="42">
        <v>2400</v>
      </c>
      <c r="H36" s="44"/>
      <c r="I36" s="45" t="s">
        <v>9</v>
      </c>
      <c r="J36" s="45" t="s">
        <v>16</v>
      </c>
      <c r="K36" s="46">
        <v>45775</v>
      </c>
      <c r="L36" s="50">
        <v>2200</v>
      </c>
      <c r="M36" s="50">
        <v>2</v>
      </c>
      <c r="N36" s="50">
        <f t="shared" si="1"/>
        <v>4400</v>
      </c>
      <c r="O36" s="50">
        <v>880</v>
      </c>
      <c r="P36" s="44"/>
      <c r="Q36" s="44"/>
    </row>
    <row r="37" spans="1:17" x14ac:dyDescent="0.2">
      <c r="A37" s="42" t="s">
        <v>13</v>
      </c>
      <c r="B37" s="42" t="s">
        <v>18</v>
      </c>
      <c r="C37" s="43">
        <v>45749</v>
      </c>
      <c r="D37" s="42">
        <v>6000</v>
      </c>
      <c r="E37" s="49">
        <v>2</v>
      </c>
      <c r="F37" s="42">
        <f t="shared" si="0"/>
        <v>12000</v>
      </c>
      <c r="G37" s="42">
        <v>2400</v>
      </c>
      <c r="H37" s="44"/>
      <c r="I37" s="45" t="s">
        <v>9</v>
      </c>
      <c r="J37" s="45" t="s">
        <v>23</v>
      </c>
      <c r="K37" s="46">
        <v>45771</v>
      </c>
      <c r="L37" s="50">
        <v>750</v>
      </c>
      <c r="M37" s="50">
        <v>6</v>
      </c>
      <c r="N37" s="50">
        <f t="shared" si="1"/>
        <v>4500</v>
      </c>
      <c r="O37" s="50">
        <v>900</v>
      </c>
      <c r="P37" s="44"/>
      <c r="Q37" s="44"/>
    </row>
    <row r="38" spans="1:17" x14ac:dyDescent="0.2">
      <c r="A38" s="42" t="s">
        <v>13</v>
      </c>
      <c r="B38" s="42" t="s">
        <v>14</v>
      </c>
      <c r="C38" s="43">
        <v>45672</v>
      </c>
      <c r="D38" s="42">
        <v>2500</v>
      </c>
      <c r="E38" s="49">
        <v>4</v>
      </c>
      <c r="F38" s="42">
        <f t="shared" ref="F38:F69" si="2">(D38*E38)</f>
        <v>10000</v>
      </c>
      <c r="G38" s="42">
        <v>2000</v>
      </c>
      <c r="H38" s="44"/>
      <c r="I38" s="45" t="s">
        <v>9</v>
      </c>
      <c r="J38" s="45" t="s">
        <v>10</v>
      </c>
      <c r="K38" s="46">
        <v>45751</v>
      </c>
      <c r="L38" s="50">
        <v>1200</v>
      </c>
      <c r="M38" s="50">
        <v>4</v>
      </c>
      <c r="N38" s="50">
        <f t="shared" ref="N38:N69" si="3">(L38*M38)</f>
        <v>4800</v>
      </c>
      <c r="O38" s="50">
        <v>960</v>
      </c>
      <c r="P38" s="44"/>
      <c r="Q38" s="44"/>
    </row>
    <row r="39" spans="1:17" x14ac:dyDescent="0.2">
      <c r="A39" s="42" t="s">
        <v>6</v>
      </c>
      <c r="B39" s="42" t="s">
        <v>19</v>
      </c>
      <c r="C39" s="43">
        <v>45730</v>
      </c>
      <c r="D39" s="42">
        <v>3200</v>
      </c>
      <c r="E39" s="49">
        <v>3</v>
      </c>
      <c r="F39" s="42">
        <f t="shared" si="2"/>
        <v>9600</v>
      </c>
      <c r="G39" s="42">
        <v>1920</v>
      </c>
      <c r="H39" s="44"/>
      <c r="I39" s="45" t="s">
        <v>9</v>
      </c>
      <c r="J39" s="45" t="s">
        <v>10</v>
      </c>
      <c r="K39" s="46">
        <v>45767</v>
      </c>
      <c r="L39" s="50">
        <v>1250</v>
      </c>
      <c r="M39" s="50">
        <v>4</v>
      </c>
      <c r="N39" s="50">
        <f t="shared" si="3"/>
        <v>5000</v>
      </c>
      <c r="O39" s="50">
        <v>1000</v>
      </c>
      <c r="P39" s="44"/>
      <c r="Q39" s="44"/>
    </row>
    <row r="40" spans="1:17" x14ac:dyDescent="0.2">
      <c r="A40" s="42" t="s">
        <v>13</v>
      </c>
      <c r="B40" s="42" t="s">
        <v>14</v>
      </c>
      <c r="C40" s="43">
        <v>45745</v>
      </c>
      <c r="D40" s="42">
        <v>2400</v>
      </c>
      <c r="E40" s="49">
        <v>4</v>
      </c>
      <c r="F40" s="42">
        <f t="shared" si="2"/>
        <v>9600</v>
      </c>
      <c r="G40" s="42">
        <v>1920</v>
      </c>
      <c r="H40" s="44"/>
      <c r="I40" s="45" t="s">
        <v>9</v>
      </c>
      <c r="J40" s="45" t="s">
        <v>10</v>
      </c>
      <c r="K40" s="46">
        <v>45716</v>
      </c>
      <c r="L40" s="50">
        <v>1300</v>
      </c>
      <c r="M40" s="50">
        <v>4</v>
      </c>
      <c r="N40" s="50">
        <f t="shared" si="3"/>
        <v>5200</v>
      </c>
      <c r="O40" s="50">
        <v>1040</v>
      </c>
      <c r="P40" s="44"/>
      <c r="Q40" s="44"/>
    </row>
    <row r="41" spans="1:17" x14ac:dyDescent="0.2">
      <c r="A41" s="42" t="s">
        <v>6</v>
      </c>
      <c r="B41" s="42" t="s">
        <v>19</v>
      </c>
      <c r="C41" s="43">
        <v>45766</v>
      </c>
      <c r="D41" s="42">
        <v>3100</v>
      </c>
      <c r="E41" s="49">
        <v>3</v>
      </c>
      <c r="F41" s="42">
        <f t="shared" si="2"/>
        <v>9300</v>
      </c>
      <c r="G41" s="42">
        <v>1860</v>
      </c>
      <c r="H41" s="44"/>
      <c r="I41" s="45" t="s">
        <v>9</v>
      </c>
      <c r="J41" s="45" t="s">
        <v>10</v>
      </c>
      <c r="K41" s="46">
        <v>45723</v>
      </c>
      <c r="L41" s="50">
        <v>1300</v>
      </c>
      <c r="M41" s="50">
        <v>4</v>
      </c>
      <c r="N41" s="50">
        <f t="shared" si="3"/>
        <v>5200</v>
      </c>
      <c r="O41" s="50">
        <v>1040</v>
      </c>
      <c r="P41" s="44"/>
      <c r="Q41" s="44"/>
    </row>
    <row r="42" spans="1:17" x14ac:dyDescent="0.2">
      <c r="A42" s="42" t="s">
        <v>6</v>
      </c>
      <c r="B42" s="42" t="s">
        <v>19</v>
      </c>
      <c r="C42" s="43">
        <v>45746</v>
      </c>
      <c r="D42" s="42">
        <v>3000</v>
      </c>
      <c r="E42" s="49">
        <v>3</v>
      </c>
      <c r="F42" s="42">
        <f t="shared" si="2"/>
        <v>9000</v>
      </c>
      <c r="G42" s="42">
        <v>1800</v>
      </c>
      <c r="H42" s="44"/>
      <c r="I42" s="45" t="s">
        <v>13</v>
      </c>
      <c r="J42" s="45" t="s">
        <v>14</v>
      </c>
      <c r="K42" s="46">
        <v>45777</v>
      </c>
      <c r="L42" s="50">
        <v>2600</v>
      </c>
      <c r="M42" s="50">
        <v>2</v>
      </c>
      <c r="N42" s="50">
        <f t="shared" si="3"/>
        <v>5200</v>
      </c>
      <c r="O42" s="50">
        <v>1040</v>
      </c>
      <c r="P42" s="44"/>
      <c r="Q42" s="44"/>
    </row>
    <row r="43" spans="1:17" x14ac:dyDescent="0.2">
      <c r="A43" s="42" t="s">
        <v>13</v>
      </c>
      <c r="B43" s="42" t="s">
        <v>14</v>
      </c>
      <c r="C43" s="43">
        <v>45725</v>
      </c>
      <c r="D43" s="42">
        <v>2600</v>
      </c>
      <c r="E43" s="49">
        <v>3</v>
      </c>
      <c r="F43" s="42">
        <f t="shared" si="2"/>
        <v>7800</v>
      </c>
      <c r="G43" s="42">
        <v>1560</v>
      </c>
      <c r="H43" s="44"/>
      <c r="I43" s="45" t="s">
        <v>9</v>
      </c>
      <c r="J43" s="45" t="s">
        <v>10</v>
      </c>
      <c r="K43" s="46">
        <v>45667</v>
      </c>
      <c r="L43" s="50">
        <v>1200</v>
      </c>
      <c r="M43" s="50">
        <v>5</v>
      </c>
      <c r="N43" s="50">
        <f t="shared" si="3"/>
        <v>6000</v>
      </c>
      <c r="O43" s="50">
        <v>1200</v>
      </c>
      <c r="P43" s="44"/>
      <c r="Q43" s="44"/>
    </row>
    <row r="44" spans="1:17" x14ac:dyDescent="0.2">
      <c r="A44" s="42" t="s">
        <v>13</v>
      </c>
      <c r="B44" s="42" t="s">
        <v>14</v>
      </c>
      <c r="C44" s="43">
        <v>45761</v>
      </c>
      <c r="D44" s="42">
        <v>2500</v>
      </c>
      <c r="E44" s="49">
        <v>3</v>
      </c>
      <c r="F44" s="42">
        <f t="shared" si="2"/>
        <v>7500</v>
      </c>
      <c r="G44" s="42">
        <v>1500</v>
      </c>
      <c r="H44" s="44"/>
      <c r="I44" s="45" t="s">
        <v>9</v>
      </c>
      <c r="J44" s="45" t="s">
        <v>16</v>
      </c>
      <c r="K44" s="46">
        <v>45677</v>
      </c>
      <c r="L44" s="50">
        <v>2000</v>
      </c>
      <c r="M44" s="50">
        <v>3</v>
      </c>
      <c r="N44" s="50">
        <f t="shared" si="3"/>
        <v>6000</v>
      </c>
      <c r="O44" s="50">
        <v>1200</v>
      </c>
      <c r="P44" s="44"/>
      <c r="Q44" s="44"/>
    </row>
    <row r="45" spans="1:17" x14ac:dyDescent="0.2">
      <c r="A45" s="42" t="s">
        <v>9</v>
      </c>
      <c r="B45" s="42" t="s">
        <v>20</v>
      </c>
      <c r="C45" s="43">
        <v>45731</v>
      </c>
      <c r="D45" s="42">
        <v>3600</v>
      </c>
      <c r="E45" s="49">
        <v>2</v>
      </c>
      <c r="F45" s="42">
        <f t="shared" si="2"/>
        <v>7200</v>
      </c>
      <c r="G45" s="42">
        <v>1440</v>
      </c>
      <c r="H45" s="44"/>
      <c r="I45" s="45" t="s">
        <v>9</v>
      </c>
      <c r="J45" s="45" t="s">
        <v>16</v>
      </c>
      <c r="K45" s="46">
        <v>45743</v>
      </c>
      <c r="L45" s="50">
        <v>2000</v>
      </c>
      <c r="M45" s="50">
        <v>3</v>
      </c>
      <c r="N45" s="50">
        <f t="shared" si="3"/>
        <v>6000</v>
      </c>
      <c r="O45" s="50">
        <v>1200</v>
      </c>
      <c r="P45" s="44"/>
      <c r="Q45" s="44"/>
    </row>
    <row r="46" spans="1:17" x14ac:dyDescent="0.2">
      <c r="A46" s="42" t="s">
        <v>9</v>
      </c>
      <c r="B46" s="42" t="s">
        <v>20</v>
      </c>
      <c r="C46" s="43">
        <v>45690</v>
      </c>
      <c r="D46" s="42">
        <v>3500</v>
      </c>
      <c r="E46" s="49">
        <v>2</v>
      </c>
      <c r="F46" s="42">
        <f t="shared" si="2"/>
        <v>7000</v>
      </c>
      <c r="G46" s="42">
        <v>1400</v>
      </c>
      <c r="H46" s="44"/>
      <c r="I46" s="45" t="s">
        <v>13</v>
      </c>
      <c r="J46" s="45" t="s">
        <v>18</v>
      </c>
      <c r="K46" s="46">
        <v>45765</v>
      </c>
      <c r="L46" s="50">
        <v>6200</v>
      </c>
      <c r="M46" s="50">
        <v>1</v>
      </c>
      <c r="N46" s="50">
        <f t="shared" si="3"/>
        <v>6200</v>
      </c>
      <c r="O46" s="50">
        <v>1240</v>
      </c>
      <c r="P46" s="44"/>
      <c r="Q46" s="44"/>
    </row>
    <row r="47" spans="1:17" x14ac:dyDescent="0.2">
      <c r="A47" s="42" t="s">
        <v>9</v>
      </c>
      <c r="B47" s="42" t="s">
        <v>20</v>
      </c>
      <c r="C47" s="43">
        <v>45763</v>
      </c>
      <c r="D47" s="42">
        <v>3500</v>
      </c>
      <c r="E47" s="49">
        <v>2</v>
      </c>
      <c r="F47" s="42">
        <f t="shared" si="2"/>
        <v>7000</v>
      </c>
      <c r="G47" s="42">
        <v>1400</v>
      </c>
      <c r="H47" s="44"/>
      <c r="I47" s="45" t="s">
        <v>6</v>
      </c>
      <c r="J47" s="45" t="s">
        <v>19</v>
      </c>
      <c r="K47" s="46">
        <v>45782</v>
      </c>
      <c r="L47" s="50">
        <v>3200</v>
      </c>
      <c r="M47" s="50">
        <v>2</v>
      </c>
      <c r="N47" s="50">
        <f t="shared" si="3"/>
        <v>6400</v>
      </c>
      <c r="O47" s="50">
        <v>1280</v>
      </c>
      <c r="P47" s="44"/>
      <c r="Q47" s="44"/>
    </row>
    <row r="48" spans="1:17" x14ac:dyDescent="0.2">
      <c r="A48" s="42" t="s">
        <v>9</v>
      </c>
      <c r="B48" s="42" t="s">
        <v>20</v>
      </c>
      <c r="C48" s="43">
        <v>45747</v>
      </c>
      <c r="D48" s="42">
        <v>3400</v>
      </c>
      <c r="E48" s="49">
        <v>2</v>
      </c>
      <c r="F48" s="42">
        <f t="shared" si="2"/>
        <v>6800</v>
      </c>
      <c r="G48" s="42">
        <v>1360</v>
      </c>
      <c r="H48" s="44"/>
      <c r="I48" s="45" t="s">
        <v>13</v>
      </c>
      <c r="J48" s="45" t="s">
        <v>18</v>
      </c>
      <c r="K48" s="46">
        <v>45729</v>
      </c>
      <c r="L48" s="50">
        <v>6500</v>
      </c>
      <c r="M48" s="50">
        <v>1</v>
      </c>
      <c r="N48" s="50">
        <f t="shared" si="3"/>
        <v>6500</v>
      </c>
      <c r="O48" s="50">
        <v>1300</v>
      </c>
      <c r="P48" s="44"/>
      <c r="Q48" s="44"/>
    </row>
    <row r="49" spans="1:17" x14ac:dyDescent="0.2">
      <c r="A49" s="42" t="s">
        <v>13</v>
      </c>
      <c r="B49" s="42" t="s">
        <v>18</v>
      </c>
      <c r="C49" s="43">
        <v>45729</v>
      </c>
      <c r="D49" s="42">
        <v>6500</v>
      </c>
      <c r="E49" s="49">
        <v>1</v>
      </c>
      <c r="F49" s="42">
        <f t="shared" si="2"/>
        <v>6500</v>
      </c>
      <c r="G49" s="42">
        <v>1300</v>
      </c>
      <c r="H49" s="44"/>
      <c r="I49" s="45" t="s">
        <v>13</v>
      </c>
      <c r="J49" s="45" t="s">
        <v>18</v>
      </c>
      <c r="K49" s="46">
        <v>45781</v>
      </c>
      <c r="L49" s="50">
        <v>6500</v>
      </c>
      <c r="M49" s="50">
        <v>1</v>
      </c>
      <c r="N49" s="50">
        <f t="shared" si="3"/>
        <v>6500</v>
      </c>
      <c r="O49" s="50">
        <v>1300</v>
      </c>
      <c r="P49" s="44"/>
      <c r="Q49" s="44"/>
    </row>
    <row r="50" spans="1:17" x14ac:dyDescent="0.2">
      <c r="A50" s="42" t="s">
        <v>13</v>
      </c>
      <c r="B50" s="42" t="s">
        <v>18</v>
      </c>
      <c r="C50" s="43">
        <v>45781</v>
      </c>
      <c r="D50" s="42">
        <v>6500</v>
      </c>
      <c r="E50" s="49">
        <v>1</v>
      </c>
      <c r="F50" s="42">
        <f t="shared" si="2"/>
        <v>6500</v>
      </c>
      <c r="G50" s="42">
        <v>1300</v>
      </c>
      <c r="H50" s="44"/>
      <c r="I50" s="45" t="s">
        <v>9</v>
      </c>
      <c r="J50" s="45" t="s">
        <v>20</v>
      </c>
      <c r="K50" s="46">
        <v>45747</v>
      </c>
      <c r="L50" s="50">
        <v>3400</v>
      </c>
      <c r="M50" s="50">
        <v>2</v>
      </c>
      <c r="N50" s="50">
        <f t="shared" si="3"/>
        <v>6800</v>
      </c>
      <c r="O50" s="50">
        <v>1360</v>
      </c>
      <c r="P50" s="44"/>
      <c r="Q50" s="44"/>
    </row>
    <row r="51" spans="1:17" x14ac:dyDescent="0.2">
      <c r="A51" s="42" t="s">
        <v>6</v>
      </c>
      <c r="B51" s="42" t="s">
        <v>19</v>
      </c>
      <c r="C51" s="43">
        <v>45782</v>
      </c>
      <c r="D51" s="42">
        <v>3200</v>
      </c>
      <c r="E51" s="49">
        <v>2</v>
      </c>
      <c r="F51" s="42">
        <f t="shared" si="2"/>
        <v>6400</v>
      </c>
      <c r="G51" s="42">
        <v>1280</v>
      </c>
      <c r="H51" s="44"/>
      <c r="I51" s="45" t="s">
        <v>9</v>
      </c>
      <c r="J51" s="45" t="s">
        <v>20</v>
      </c>
      <c r="K51" s="46">
        <v>45690</v>
      </c>
      <c r="L51" s="50">
        <v>3500</v>
      </c>
      <c r="M51" s="50">
        <v>2</v>
      </c>
      <c r="N51" s="50">
        <f t="shared" si="3"/>
        <v>7000</v>
      </c>
      <c r="O51" s="50">
        <v>1400</v>
      </c>
      <c r="P51" s="44"/>
      <c r="Q51" s="44"/>
    </row>
    <row r="52" spans="1:17" x14ac:dyDescent="0.2">
      <c r="A52" s="42" t="s">
        <v>13</v>
      </c>
      <c r="B52" s="42" t="s">
        <v>18</v>
      </c>
      <c r="C52" s="43">
        <v>45765</v>
      </c>
      <c r="D52" s="42">
        <v>6200</v>
      </c>
      <c r="E52" s="49">
        <v>1</v>
      </c>
      <c r="F52" s="42">
        <f t="shared" si="2"/>
        <v>6200</v>
      </c>
      <c r="G52" s="42">
        <v>1240</v>
      </c>
      <c r="H52" s="44"/>
      <c r="I52" s="45" t="s">
        <v>9</v>
      </c>
      <c r="J52" s="45" t="s">
        <v>20</v>
      </c>
      <c r="K52" s="46">
        <v>45763</v>
      </c>
      <c r="L52" s="50">
        <v>3500</v>
      </c>
      <c r="M52" s="50">
        <v>2</v>
      </c>
      <c r="N52" s="50">
        <f t="shared" si="3"/>
        <v>7000</v>
      </c>
      <c r="O52" s="50">
        <v>1400</v>
      </c>
      <c r="P52" s="44"/>
      <c r="Q52" s="44"/>
    </row>
    <row r="53" spans="1:17" x14ac:dyDescent="0.2">
      <c r="A53" s="42" t="s">
        <v>9</v>
      </c>
      <c r="B53" s="42" t="s">
        <v>10</v>
      </c>
      <c r="C53" s="43">
        <v>45667</v>
      </c>
      <c r="D53" s="42">
        <v>1200</v>
      </c>
      <c r="E53" s="49">
        <v>5</v>
      </c>
      <c r="F53" s="42">
        <f t="shared" si="2"/>
        <v>6000</v>
      </c>
      <c r="G53" s="42">
        <v>1200</v>
      </c>
      <c r="H53" s="44"/>
      <c r="I53" s="45" t="s">
        <v>9</v>
      </c>
      <c r="J53" s="45" t="s">
        <v>20</v>
      </c>
      <c r="K53" s="46">
        <v>45731</v>
      </c>
      <c r="L53" s="50">
        <v>3600</v>
      </c>
      <c r="M53" s="50">
        <v>2</v>
      </c>
      <c r="N53" s="50">
        <f t="shared" si="3"/>
        <v>7200</v>
      </c>
      <c r="O53" s="50">
        <v>1440</v>
      </c>
      <c r="P53" s="44"/>
      <c r="Q53" s="44"/>
    </row>
    <row r="54" spans="1:17" x14ac:dyDescent="0.2">
      <c r="A54" s="42" t="s">
        <v>9</v>
      </c>
      <c r="B54" s="42" t="s">
        <v>16</v>
      </c>
      <c r="C54" s="43">
        <v>45677</v>
      </c>
      <c r="D54" s="42">
        <v>2000</v>
      </c>
      <c r="E54" s="49">
        <v>3</v>
      </c>
      <c r="F54" s="42">
        <f t="shared" si="2"/>
        <v>6000</v>
      </c>
      <c r="G54" s="42">
        <v>1200</v>
      </c>
      <c r="H54" s="44"/>
      <c r="I54" s="45" t="s">
        <v>13</v>
      </c>
      <c r="J54" s="45" t="s">
        <v>14</v>
      </c>
      <c r="K54" s="46">
        <v>45761</v>
      </c>
      <c r="L54" s="50">
        <v>2500</v>
      </c>
      <c r="M54" s="50">
        <v>3</v>
      </c>
      <c r="N54" s="50">
        <f t="shared" si="3"/>
        <v>7500</v>
      </c>
      <c r="O54" s="50">
        <v>1500</v>
      </c>
      <c r="P54" s="44"/>
      <c r="Q54" s="44"/>
    </row>
    <row r="55" spans="1:17" x14ac:dyDescent="0.2">
      <c r="A55" s="42" t="s">
        <v>9</v>
      </c>
      <c r="B55" s="42" t="s">
        <v>16</v>
      </c>
      <c r="C55" s="43">
        <v>45743</v>
      </c>
      <c r="D55" s="42">
        <v>2000</v>
      </c>
      <c r="E55" s="49">
        <v>3</v>
      </c>
      <c r="F55" s="42">
        <f t="shared" si="2"/>
        <v>6000</v>
      </c>
      <c r="G55" s="42">
        <v>1200</v>
      </c>
      <c r="H55" s="44"/>
      <c r="I55" s="45" t="s">
        <v>13</v>
      </c>
      <c r="J55" s="45" t="s">
        <v>14</v>
      </c>
      <c r="K55" s="46">
        <v>45725</v>
      </c>
      <c r="L55" s="50">
        <v>2600</v>
      </c>
      <c r="M55" s="50">
        <v>3</v>
      </c>
      <c r="N55" s="50">
        <f t="shared" si="3"/>
        <v>7800</v>
      </c>
      <c r="O55" s="50">
        <v>1560</v>
      </c>
      <c r="P55" s="44"/>
      <c r="Q55" s="44"/>
    </row>
    <row r="56" spans="1:17" x14ac:dyDescent="0.2">
      <c r="A56" s="42" t="s">
        <v>9</v>
      </c>
      <c r="B56" s="42" t="s">
        <v>10</v>
      </c>
      <c r="C56" s="43">
        <v>45716</v>
      </c>
      <c r="D56" s="42">
        <v>1300</v>
      </c>
      <c r="E56" s="49">
        <v>4</v>
      </c>
      <c r="F56" s="42">
        <f t="shared" si="2"/>
        <v>5200</v>
      </c>
      <c r="G56" s="42">
        <v>1040</v>
      </c>
      <c r="H56" s="44"/>
      <c r="I56" s="45" t="s">
        <v>6</v>
      </c>
      <c r="J56" s="45" t="s">
        <v>19</v>
      </c>
      <c r="K56" s="46">
        <v>45746</v>
      </c>
      <c r="L56" s="50">
        <v>3000</v>
      </c>
      <c r="M56" s="50">
        <v>3</v>
      </c>
      <c r="N56" s="50">
        <f t="shared" si="3"/>
        <v>9000</v>
      </c>
      <c r="O56" s="50">
        <v>1800</v>
      </c>
      <c r="P56" s="44"/>
      <c r="Q56" s="44"/>
    </row>
    <row r="57" spans="1:17" x14ac:dyDescent="0.2">
      <c r="A57" s="42" t="s">
        <v>9</v>
      </c>
      <c r="B57" s="42" t="s">
        <v>10</v>
      </c>
      <c r="C57" s="43">
        <v>45723</v>
      </c>
      <c r="D57" s="42">
        <v>1300</v>
      </c>
      <c r="E57" s="49">
        <v>4</v>
      </c>
      <c r="F57" s="42">
        <f t="shared" si="2"/>
        <v>5200</v>
      </c>
      <c r="G57" s="42">
        <v>1040</v>
      </c>
      <c r="H57" s="44"/>
      <c r="I57" s="45" t="s">
        <v>6</v>
      </c>
      <c r="J57" s="45" t="s">
        <v>19</v>
      </c>
      <c r="K57" s="46">
        <v>45766</v>
      </c>
      <c r="L57" s="50">
        <v>3100</v>
      </c>
      <c r="M57" s="50">
        <v>3</v>
      </c>
      <c r="N57" s="50">
        <f t="shared" si="3"/>
        <v>9300</v>
      </c>
      <c r="O57" s="50">
        <v>1860</v>
      </c>
      <c r="P57" s="44"/>
      <c r="Q57" s="44"/>
    </row>
    <row r="58" spans="1:17" x14ac:dyDescent="0.2">
      <c r="A58" s="42" t="s">
        <v>13</v>
      </c>
      <c r="B58" s="42" t="s">
        <v>14</v>
      </c>
      <c r="C58" s="43">
        <v>45777</v>
      </c>
      <c r="D58" s="42">
        <v>2600</v>
      </c>
      <c r="E58" s="49">
        <v>2</v>
      </c>
      <c r="F58" s="42">
        <f t="shared" si="2"/>
        <v>5200</v>
      </c>
      <c r="G58" s="42">
        <v>1040</v>
      </c>
      <c r="H58" s="44"/>
      <c r="I58" s="45" t="s">
        <v>6</v>
      </c>
      <c r="J58" s="45" t="s">
        <v>19</v>
      </c>
      <c r="K58" s="46">
        <v>45730</v>
      </c>
      <c r="L58" s="50">
        <v>3200</v>
      </c>
      <c r="M58" s="50">
        <v>3</v>
      </c>
      <c r="N58" s="50">
        <f t="shared" si="3"/>
        <v>9600</v>
      </c>
      <c r="O58" s="50">
        <v>1920</v>
      </c>
      <c r="P58" s="44"/>
      <c r="Q58" s="44"/>
    </row>
    <row r="59" spans="1:17" x14ac:dyDescent="0.2">
      <c r="A59" s="42" t="s">
        <v>9</v>
      </c>
      <c r="B59" s="42" t="s">
        <v>10</v>
      </c>
      <c r="C59" s="43">
        <v>45767</v>
      </c>
      <c r="D59" s="42">
        <v>1250</v>
      </c>
      <c r="E59" s="49">
        <v>4</v>
      </c>
      <c r="F59" s="42">
        <f t="shared" si="2"/>
        <v>5000</v>
      </c>
      <c r="G59" s="42">
        <v>1000</v>
      </c>
      <c r="H59" s="44"/>
      <c r="I59" s="45" t="s">
        <v>13</v>
      </c>
      <c r="J59" s="45" t="s">
        <v>14</v>
      </c>
      <c r="K59" s="46">
        <v>45745</v>
      </c>
      <c r="L59" s="50">
        <v>2400</v>
      </c>
      <c r="M59" s="50">
        <v>4</v>
      </c>
      <c r="N59" s="50">
        <f t="shared" si="3"/>
        <v>9600</v>
      </c>
      <c r="O59" s="50">
        <v>1920</v>
      </c>
      <c r="P59" s="44"/>
      <c r="Q59" s="44"/>
    </row>
    <row r="60" spans="1:17" x14ac:dyDescent="0.2">
      <c r="A60" s="42" t="s">
        <v>9</v>
      </c>
      <c r="B60" s="42" t="s">
        <v>10</v>
      </c>
      <c r="C60" s="43">
        <v>45751</v>
      </c>
      <c r="D60" s="42">
        <v>1200</v>
      </c>
      <c r="E60" s="49">
        <v>4</v>
      </c>
      <c r="F60" s="42">
        <f t="shared" si="2"/>
        <v>4800</v>
      </c>
      <c r="G60" s="42">
        <v>960</v>
      </c>
      <c r="H60" s="44"/>
      <c r="I60" s="45" t="s">
        <v>13</v>
      </c>
      <c r="J60" s="45" t="s">
        <v>14</v>
      </c>
      <c r="K60" s="46">
        <v>45672</v>
      </c>
      <c r="L60" s="50">
        <v>2500</v>
      </c>
      <c r="M60" s="50">
        <v>4</v>
      </c>
      <c r="N60" s="50">
        <f t="shared" si="3"/>
        <v>10000</v>
      </c>
      <c r="O60" s="50">
        <v>2000</v>
      </c>
      <c r="P60" s="44"/>
      <c r="Q60" s="44"/>
    </row>
    <row r="61" spans="1:17" x14ac:dyDescent="0.2">
      <c r="A61" s="42" t="s">
        <v>9</v>
      </c>
      <c r="B61" s="42" t="s">
        <v>23</v>
      </c>
      <c r="C61" s="43">
        <v>45771</v>
      </c>
      <c r="D61" s="42">
        <v>750</v>
      </c>
      <c r="E61" s="49">
        <v>6</v>
      </c>
      <c r="F61" s="42">
        <f t="shared" si="2"/>
        <v>4500</v>
      </c>
      <c r="G61" s="42">
        <v>900</v>
      </c>
      <c r="H61" s="44"/>
      <c r="I61" s="45" t="s">
        <v>13</v>
      </c>
      <c r="J61" s="45" t="s">
        <v>18</v>
      </c>
      <c r="K61" s="46">
        <v>45682</v>
      </c>
      <c r="L61" s="50">
        <v>6000</v>
      </c>
      <c r="M61" s="50">
        <v>2</v>
      </c>
      <c r="N61" s="50">
        <f t="shared" si="3"/>
        <v>12000</v>
      </c>
      <c r="O61" s="50">
        <v>2400</v>
      </c>
      <c r="P61" s="44"/>
      <c r="Q61" s="44"/>
    </row>
    <row r="62" spans="1:17" x14ac:dyDescent="0.2">
      <c r="A62" s="42" t="s">
        <v>9</v>
      </c>
      <c r="B62" s="42" t="s">
        <v>16</v>
      </c>
      <c r="C62" s="43">
        <v>45775</v>
      </c>
      <c r="D62" s="42">
        <v>2200</v>
      </c>
      <c r="E62" s="49">
        <v>2</v>
      </c>
      <c r="F62" s="42">
        <f t="shared" si="2"/>
        <v>4400</v>
      </c>
      <c r="G62" s="42">
        <v>880</v>
      </c>
      <c r="H62" s="44"/>
      <c r="I62" s="45" t="s">
        <v>6</v>
      </c>
      <c r="J62" s="45" t="s">
        <v>19</v>
      </c>
      <c r="K62" s="46">
        <v>45685</v>
      </c>
      <c r="L62" s="50">
        <v>3000</v>
      </c>
      <c r="M62" s="50">
        <v>4</v>
      </c>
      <c r="N62" s="50">
        <f t="shared" si="3"/>
        <v>12000</v>
      </c>
      <c r="O62" s="50">
        <v>2400</v>
      </c>
      <c r="P62" s="44"/>
      <c r="Q62" s="44"/>
    </row>
    <row r="63" spans="1:17" x14ac:dyDescent="0.2">
      <c r="A63" s="42" t="s">
        <v>9</v>
      </c>
      <c r="B63" s="42" t="s">
        <v>23</v>
      </c>
      <c r="C63" s="43">
        <v>45703</v>
      </c>
      <c r="D63" s="42">
        <v>700</v>
      </c>
      <c r="E63" s="49">
        <v>6</v>
      </c>
      <c r="F63" s="42">
        <f t="shared" si="2"/>
        <v>4200</v>
      </c>
      <c r="G63" s="42">
        <v>840</v>
      </c>
      <c r="H63" s="44"/>
      <c r="I63" s="45" t="s">
        <v>13</v>
      </c>
      <c r="J63" s="45" t="s">
        <v>18</v>
      </c>
      <c r="K63" s="46">
        <v>45749</v>
      </c>
      <c r="L63" s="50">
        <v>6000</v>
      </c>
      <c r="M63" s="50">
        <v>2</v>
      </c>
      <c r="N63" s="50">
        <f t="shared" si="3"/>
        <v>12000</v>
      </c>
      <c r="O63" s="50">
        <v>2400</v>
      </c>
      <c r="P63" s="44"/>
      <c r="Q63" s="44"/>
    </row>
    <row r="64" spans="1:17" x14ac:dyDescent="0.2">
      <c r="A64" s="42" t="s">
        <v>9</v>
      </c>
      <c r="B64" s="42" t="s">
        <v>16</v>
      </c>
      <c r="C64" s="43">
        <v>45727</v>
      </c>
      <c r="D64" s="42">
        <v>2100</v>
      </c>
      <c r="E64" s="49">
        <v>2</v>
      </c>
      <c r="F64" s="42">
        <f t="shared" si="2"/>
        <v>4200</v>
      </c>
      <c r="G64" s="42">
        <v>840</v>
      </c>
      <c r="H64" s="44"/>
      <c r="I64" s="45" t="s">
        <v>6</v>
      </c>
      <c r="J64" s="45" t="s">
        <v>15</v>
      </c>
      <c r="K64" s="46">
        <v>45762</v>
      </c>
      <c r="L64" s="50">
        <v>18000</v>
      </c>
      <c r="M64" s="50">
        <v>1</v>
      </c>
      <c r="N64" s="50">
        <f t="shared" si="3"/>
        <v>18000</v>
      </c>
      <c r="O64" s="50">
        <v>3600</v>
      </c>
      <c r="P64" s="44"/>
      <c r="Q64" s="44"/>
    </row>
    <row r="65" spans="1:17" x14ac:dyDescent="0.2">
      <c r="A65" s="42" t="s">
        <v>9</v>
      </c>
      <c r="B65" s="42" t="s">
        <v>10</v>
      </c>
      <c r="C65" s="43">
        <v>45739</v>
      </c>
      <c r="D65" s="42">
        <v>1400</v>
      </c>
      <c r="E65" s="49">
        <v>3</v>
      </c>
      <c r="F65" s="42">
        <f t="shared" si="2"/>
        <v>4200</v>
      </c>
      <c r="G65" s="42">
        <v>840</v>
      </c>
      <c r="H65" s="44"/>
      <c r="I65" s="45" t="s">
        <v>13</v>
      </c>
      <c r="J65" s="45" t="s">
        <v>22</v>
      </c>
      <c r="K65" s="46">
        <v>45696</v>
      </c>
      <c r="L65" s="50">
        <v>20000</v>
      </c>
      <c r="M65" s="50">
        <v>1</v>
      </c>
      <c r="N65" s="50">
        <f t="shared" si="3"/>
        <v>20000</v>
      </c>
      <c r="O65" s="50">
        <v>4000</v>
      </c>
      <c r="P65" s="44"/>
      <c r="Q65" s="44"/>
    </row>
    <row r="66" spans="1:17" x14ac:dyDescent="0.2">
      <c r="A66" s="42" t="s">
        <v>9</v>
      </c>
      <c r="B66" s="42" t="s">
        <v>16</v>
      </c>
      <c r="C66" s="43">
        <v>45759</v>
      </c>
      <c r="D66" s="42">
        <v>2100</v>
      </c>
      <c r="E66" s="49">
        <v>2</v>
      </c>
      <c r="F66" s="42">
        <f t="shared" si="2"/>
        <v>4200</v>
      </c>
      <c r="G66" s="42">
        <v>840</v>
      </c>
      <c r="H66" s="44"/>
      <c r="I66" s="45" t="s">
        <v>13</v>
      </c>
      <c r="J66" s="45" t="s">
        <v>22</v>
      </c>
      <c r="K66" s="46">
        <v>45753</v>
      </c>
      <c r="L66" s="50">
        <v>20000</v>
      </c>
      <c r="M66" s="50">
        <v>1</v>
      </c>
      <c r="N66" s="50">
        <f t="shared" si="3"/>
        <v>20000</v>
      </c>
      <c r="O66" s="50">
        <v>4000</v>
      </c>
      <c r="P66" s="44"/>
      <c r="Q66" s="44"/>
    </row>
    <row r="67" spans="1:17" x14ac:dyDescent="0.2">
      <c r="A67" s="42" t="s">
        <v>9</v>
      </c>
      <c r="B67" s="42" t="s">
        <v>10</v>
      </c>
      <c r="C67" s="43">
        <v>45779</v>
      </c>
      <c r="D67" s="42">
        <v>1350</v>
      </c>
      <c r="E67" s="49">
        <v>3</v>
      </c>
      <c r="F67" s="42">
        <f t="shared" si="2"/>
        <v>4050</v>
      </c>
      <c r="G67" s="42">
        <v>810</v>
      </c>
      <c r="H67" s="44"/>
      <c r="I67" s="45" t="s">
        <v>13</v>
      </c>
      <c r="J67" s="45" t="s">
        <v>22</v>
      </c>
      <c r="K67" s="46">
        <v>45733</v>
      </c>
      <c r="L67" s="50">
        <v>21000</v>
      </c>
      <c r="M67" s="50">
        <v>1</v>
      </c>
      <c r="N67" s="50">
        <f t="shared" si="3"/>
        <v>21000</v>
      </c>
      <c r="O67" s="50">
        <v>4200</v>
      </c>
      <c r="P67" s="44"/>
      <c r="Q67" s="44"/>
    </row>
    <row r="68" spans="1:17" x14ac:dyDescent="0.2">
      <c r="A68" s="42" t="s">
        <v>11</v>
      </c>
      <c r="B68" s="42" t="s">
        <v>12</v>
      </c>
      <c r="C68" s="43">
        <v>45669</v>
      </c>
      <c r="D68" s="42">
        <v>80</v>
      </c>
      <c r="E68" s="49">
        <v>50</v>
      </c>
      <c r="F68" s="42">
        <f t="shared" si="2"/>
        <v>4000</v>
      </c>
      <c r="G68" s="42">
        <v>800</v>
      </c>
      <c r="H68" s="44"/>
      <c r="I68" s="45" t="s">
        <v>13</v>
      </c>
      <c r="J68" s="45" t="s">
        <v>22</v>
      </c>
      <c r="K68" s="46">
        <v>45769</v>
      </c>
      <c r="L68" s="50">
        <v>21000</v>
      </c>
      <c r="M68" s="50">
        <v>1</v>
      </c>
      <c r="N68" s="50">
        <f t="shared" si="3"/>
        <v>21000</v>
      </c>
      <c r="O68" s="50">
        <v>4200</v>
      </c>
      <c r="P68" s="44"/>
      <c r="Q68" s="44"/>
    </row>
    <row r="69" spans="1:17" x14ac:dyDescent="0.2">
      <c r="A69" s="42" t="s">
        <v>9</v>
      </c>
      <c r="B69" s="42" t="s">
        <v>23</v>
      </c>
      <c r="C69" s="43">
        <v>45755</v>
      </c>
      <c r="D69" s="42">
        <v>800</v>
      </c>
      <c r="E69" s="49">
        <v>5</v>
      </c>
      <c r="F69" s="42">
        <f t="shared" si="2"/>
        <v>4000</v>
      </c>
      <c r="G69" s="42">
        <v>800</v>
      </c>
      <c r="H69" s="44"/>
      <c r="I69" s="45" t="s">
        <v>6</v>
      </c>
      <c r="J69" s="45" t="s">
        <v>8</v>
      </c>
      <c r="K69" s="46">
        <v>45750</v>
      </c>
      <c r="L69" s="50">
        <v>22000</v>
      </c>
      <c r="M69" s="50">
        <v>1</v>
      </c>
      <c r="N69" s="50">
        <f t="shared" si="3"/>
        <v>22000</v>
      </c>
      <c r="O69" s="50">
        <v>4400</v>
      </c>
      <c r="P69" s="44"/>
      <c r="Q69" s="44"/>
    </row>
    <row r="70" spans="1:17" x14ac:dyDescent="0.2">
      <c r="A70" s="42" t="s">
        <v>11</v>
      </c>
      <c r="B70" s="42" t="s">
        <v>12</v>
      </c>
      <c r="C70" s="43">
        <v>45719</v>
      </c>
      <c r="D70" s="42">
        <v>85</v>
      </c>
      <c r="E70" s="49">
        <v>45</v>
      </c>
      <c r="F70" s="42">
        <f t="shared" ref="F70:F101" si="4">(D70*E70)</f>
        <v>3825</v>
      </c>
      <c r="G70" s="42">
        <v>765</v>
      </c>
      <c r="H70" s="44"/>
      <c r="I70" s="45" t="s">
        <v>13</v>
      </c>
      <c r="J70" s="45" t="s">
        <v>22</v>
      </c>
      <c r="K70" s="46">
        <v>45785</v>
      </c>
      <c r="L70" s="50">
        <v>22000</v>
      </c>
      <c r="M70" s="50">
        <v>1</v>
      </c>
      <c r="N70" s="50">
        <f t="shared" ref="N70:N101" si="5">(L70*M70)</f>
        <v>22000</v>
      </c>
      <c r="O70" s="50">
        <v>4400</v>
      </c>
      <c r="P70" s="44"/>
      <c r="Q70" s="44"/>
    </row>
    <row r="71" spans="1:17" x14ac:dyDescent="0.2">
      <c r="A71" s="42" t="s">
        <v>9</v>
      </c>
      <c r="B71" s="42" t="s">
        <v>23</v>
      </c>
      <c r="C71" s="43">
        <v>45735</v>
      </c>
      <c r="D71" s="42">
        <v>750</v>
      </c>
      <c r="E71" s="49">
        <v>5</v>
      </c>
      <c r="F71" s="42">
        <f t="shared" si="4"/>
        <v>3750</v>
      </c>
      <c r="G71" s="42">
        <v>750</v>
      </c>
      <c r="H71" s="44"/>
      <c r="I71" s="45" t="s">
        <v>6</v>
      </c>
      <c r="J71" s="45" t="s">
        <v>8</v>
      </c>
      <c r="K71" s="46">
        <v>45774</v>
      </c>
      <c r="L71" s="50">
        <v>23000</v>
      </c>
      <c r="M71" s="50">
        <v>1</v>
      </c>
      <c r="N71" s="50">
        <f t="shared" si="5"/>
        <v>23000</v>
      </c>
      <c r="O71" s="50">
        <v>4600</v>
      </c>
      <c r="P71" s="44"/>
      <c r="Q71" s="44"/>
    </row>
    <row r="72" spans="1:17" x14ac:dyDescent="0.2">
      <c r="A72" s="42" t="s">
        <v>11</v>
      </c>
      <c r="B72" s="42" t="s">
        <v>17</v>
      </c>
      <c r="C72" s="43">
        <v>45744</v>
      </c>
      <c r="D72" s="42">
        <v>150</v>
      </c>
      <c r="E72" s="49">
        <v>25</v>
      </c>
      <c r="F72" s="42">
        <f t="shared" si="4"/>
        <v>3750</v>
      </c>
      <c r="G72" s="42">
        <v>750</v>
      </c>
      <c r="H72" s="44"/>
      <c r="I72" s="45" t="s">
        <v>13</v>
      </c>
      <c r="J72" s="45" t="s">
        <v>25</v>
      </c>
      <c r="K72" s="46">
        <v>45709</v>
      </c>
      <c r="L72" s="50">
        <v>30000</v>
      </c>
      <c r="M72" s="50">
        <v>1</v>
      </c>
      <c r="N72" s="50">
        <f t="shared" si="5"/>
        <v>30000</v>
      </c>
      <c r="O72" s="50">
        <v>6000</v>
      </c>
      <c r="P72" s="44"/>
      <c r="Q72" s="44"/>
    </row>
    <row r="73" spans="1:17" x14ac:dyDescent="0.2">
      <c r="A73" s="42" t="s">
        <v>11</v>
      </c>
      <c r="B73" s="42" t="s">
        <v>12</v>
      </c>
      <c r="C73" s="43">
        <v>45752</v>
      </c>
      <c r="D73" s="42">
        <v>80</v>
      </c>
      <c r="E73" s="49">
        <v>45</v>
      </c>
      <c r="F73" s="42">
        <f t="shared" si="4"/>
        <v>3600</v>
      </c>
      <c r="G73" s="42">
        <v>720</v>
      </c>
      <c r="H73" s="44"/>
      <c r="I73" s="45" t="s">
        <v>13</v>
      </c>
      <c r="J73" s="45" t="s">
        <v>25</v>
      </c>
      <c r="K73" s="46">
        <v>45757</v>
      </c>
      <c r="L73" s="50">
        <v>31000</v>
      </c>
      <c r="M73" s="50">
        <v>1</v>
      </c>
      <c r="N73" s="50">
        <f t="shared" si="5"/>
        <v>31000</v>
      </c>
      <c r="O73" s="50">
        <v>6200</v>
      </c>
      <c r="P73" s="44"/>
      <c r="Q73" s="44"/>
    </row>
    <row r="74" spans="1:17" x14ac:dyDescent="0.2">
      <c r="A74" s="42" t="s">
        <v>11</v>
      </c>
      <c r="B74" s="42" t="s">
        <v>12</v>
      </c>
      <c r="C74" s="43">
        <v>45780</v>
      </c>
      <c r="D74" s="42">
        <v>90</v>
      </c>
      <c r="E74" s="49">
        <v>40</v>
      </c>
      <c r="F74" s="42">
        <f t="shared" si="4"/>
        <v>3600</v>
      </c>
      <c r="G74" s="42">
        <v>720</v>
      </c>
      <c r="H74" s="44"/>
      <c r="I74" s="45" t="s">
        <v>13</v>
      </c>
      <c r="J74" s="45" t="s">
        <v>25</v>
      </c>
      <c r="K74" s="46">
        <v>45737</v>
      </c>
      <c r="L74" s="50">
        <v>32000</v>
      </c>
      <c r="M74" s="50">
        <v>1</v>
      </c>
      <c r="N74" s="50">
        <f t="shared" si="5"/>
        <v>32000</v>
      </c>
      <c r="O74" s="50">
        <v>6400</v>
      </c>
      <c r="P74" s="44"/>
      <c r="Q74" s="44"/>
    </row>
    <row r="75" spans="1:17" x14ac:dyDescent="0.2">
      <c r="A75" s="42" t="s">
        <v>9</v>
      </c>
      <c r="B75" s="42" t="s">
        <v>20</v>
      </c>
      <c r="C75" s="43">
        <v>45783</v>
      </c>
      <c r="D75" s="42">
        <v>3600</v>
      </c>
      <c r="E75" s="49">
        <v>1</v>
      </c>
      <c r="F75" s="42">
        <f t="shared" si="4"/>
        <v>3600</v>
      </c>
      <c r="G75" s="42">
        <v>720</v>
      </c>
      <c r="H75" s="44"/>
      <c r="I75" s="45" t="s">
        <v>6</v>
      </c>
      <c r="J75" s="45" t="s">
        <v>15</v>
      </c>
      <c r="K75" s="46">
        <v>45742</v>
      </c>
      <c r="L75" s="50">
        <v>16000</v>
      </c>
      <c r="M75" s="50">
        <v>2</v>
      </c>
      <c r="N75" s="50">
        <f t="shared" si="5"/>
        <v>32000</v>
      </c>
      <c r="O75" s="50">
        <v>6400</v>
      </c>
      <c r="P75" s="44"/>
      <c r="Q75" s="44"/>
    </row>
    <row r="76" spans="1:17" x14ac:dyDescent="0.2">
      <c r="A76" s="42" t="s">
        <v>11</v>
      </c>
      <c r="B76" s="42" t="s">
        <v>12</v>
      </c>
      <c r="C76" s="43">
        <v>45724</v>
      </c>
      <c r="D76" s="42">
        <v>85</v>
      </c>
      <c r="E76" s="49">
        <v>40</v>
      </c>
      <c r="F76" s="42">
        <f t="shared" si="4"/>
        <v>3400</v>
      </c>
      <c r="G76" s="42">
        <v>680</v>
      </c>
      <c r="H76" s="44"/>
      <c r="I76" s="45" t="s">
        <v>13</v>
      </c>
      <c r="J76" s="45" t="s">
        <v>25</v>
      </c>
      <c r="K76" s="46">
        <v>45773</v>
      </c>
      <c r="L76" s="50">
        <v>33000</v>
      </c>
      <c r="M76" s="50">
        <v>1</v>
      </c>
      <c r="N76" s="50">
        <f t="shared" si="5"/>
        <v>33000</v>
      </c>
      <c r="O76" s="50">
        <v>6600</v>
      </c>
      <c r="P76" s="44"/>
      <c r="Q76" s="44"/>
    </row>
    <row r="77" spans="1:17" x14ac:dyDescent="0.2">
      <c r="A77" s="42" t="s">
        <v>11</v>
      </c>
      <c r="B77" s="42" t="s">
        <v>17</v>
      </c>
      <c r="C77" s="43">
        <v>45760</v>
      </c>
      <c r="D77" s="42">
        <v>160</v>
      </c>
      <c r="E77" s="49">
        <v>20</v>
      </c>
      <c r="F77" s="42">
        <f t="shared" si="4"/>
        <v>3200</v>
      </c>
      <c r="G77" s="42">
        <v>640</v>
      </c>
      <c r="H77" s="44"/>
      <c r="I77" s="45" t="s">
        <v>6</v>
      </c>
      <c r="J77" s="45" t="s">
        <v>15</v>
      </c>
      <c r="K77" s="46">
        <v>45726</v>
      </c>
      <c r="L77" s="50">
        <v>17000</v>
      </c>
      <c r="M77" s="50">
        <v>2</v>
      </c>
      <c r="N77" s="50">
        <f t="shared" si="5"/>
        <v>34000</v>
      </c>
      <c r="O77" s="50">
        <v>6800</v>
      </c>
      <c r="P77" s="44"/>
      <c r="Q77" s="44"/>
    </row>
    <row r="78" spans="1:17" x14ac:dyDescent="0.2">
      <c r="A78" s="42" t="s">
        <v>9</v>
      </c>
      <c r="B78" s="42" t="s">
        <v>23</v>
      </c>
      <c r="C78" s="43">
        <v>45787</v>
      </c>
      <c r="D78" s="42">
        <v>800</v>
      </c>
      <c r="E78" s="49">
        <v>4</v>
      </c>
      <c r="F78" s="42">
        <f t="shared" si="4"/>
        <v>3200</v>
      </c>
      <c r="G78" s="42">
        <v>640</v>
      </c>
      <c r="H78" s="44"/>
      <c r="I78" s="45" t="s">
        <v>6</v>
      </c>
      <c r="J78" s="45" t="s">
        <v>15</v>
      </c>
      <c r="K78" s="46">
        <v>45778</v>
      </c>
      <c r="L78" s="50">
        <v>17000</v>
      </c>
      <c r="M78" s="50">
        <v>2</v>
      </c>
      <c r="N78" s="50">
        <f t="shared" si="5"/>
        <v>34000</v>
      </c>
      <c r="O78" s="50">
        <v>6800</v>
      </c>
      <c r="P78" s="44"/>
      <c r="Q78" s="44"/>
    </row>
    <row r="79" spans="1:17" x14ac:dyDescent="0.2">
      <c r="A79" s="42" t="s">
        <v>11</v>
      </c>
      <c r="B79" s="42" t="s">
        <v>17</v>
      </c>
      <c r="C79" s="43">
        <v>45732</v>
      </c>
      <c r="D79" s="42">
        <v>155</v>
      </c>
      <c r="E79" s="49">
        <v>20</v>
      </c>
      <c r="F79" s="42">
        <f t="shared" si="4"/>
        <v>3100</v>
      </c>
      <c r="G79" s="42">
        <v>620</v>
      </c>
      <c r="H79" s="44"/>
      <c r="I79" s="45" t="s">
        <v>13</v>
      </c>
      <c r="J79" s="45" t="s">
        <v>25</v>
      </c>
      <c r="K79" s="46">
        <v>45789</v>
      </c>
      <c r="L79" s="50">
        <v>34000</v>
      </c>
      <c r="M79" s="50">
        <v>1</v>
      </c>
      <c r="N79" s="50">
        <f t="shared" si="5"/>
        <v>34000</v>
      </c>
      <c r="O79" s="50">
        <v>6800</v>
      </c>
      <c r="P79" s="44"/>
      <c r="Q79" s="44"/>
    </row>
    <row r="80" spans="1:17" x14ac:dyDescent="0.2">
      <c r="A80" s="42" t="s">
        <v>11</v>
      </c>
      <c r="B80" s="42" t="s">
        <v>17</v>
      </c>
      <c r="C80" s="43">
        <v>45776</v>
      </c>
      <c r="D80" s="42">
        <v>155</v>
      </c>
      <c r="E80" s="49">
        <v>20</v>
      </c>
      <c r="F80" s="42">
        <f t="shared" si="4"/>
        <v>3100</v>
      </c>
      <c r="G80" s="42">
        <v>620</v>
      </c>
      <c r="H80" s="44"/>
      <c r="I80" s="45" t="s">
        <v>6</v>
      </c>
      <c r="J80" s="45" t="s">
        <v>15</v>
      </c>
      <c r="K80" s="46">
        <v>45675</v>
      </c>
      <c r="L80" s="50">
        <v>18000</v>
      </c>
      <c r="M80" s="50">
        <v>2</v>
      </c>
      <c r="N80" s="50">
        <f t="shared" si="5"/>
        <v>36000</v>
      </c>
      <c r="O80" s="50">
        <v>7200</v>
      </c>
      <c r="P80" s="44"/>
      <c r="Q80" s="44"/>
    </row>
    <row r="81" spans="1:17" x14ac:dyDescent="0.2">
      <c r="A81" s="42" t="s">
        <v>11</v>
      </c>
      <c r="B81" s="42" t="s">
        <v>17</v>
      </c>
      <c r="C81" s="43">
        <v>45680</v>
      </c>
      <c r="D81" s="42">
        <v>150</v>
      </c>
      <c r="E81" s="49">
        <v>20</v>
      </c>
      <c r="F81" s="42">
        <f t="shared" si="4"/>
        <v>3000</v>
      </c>
      <c r="G81" s="42">
        <v>600</v>
      </c>
      <c r="H81" s="44"/>
      <c r="I81" s="45" t="s">
        <v>6</v>
      </c>
      <c r="J81" s="45" t="s">
        <v>8</v>
      </c>
      <c r="K81" s="46">
        <v>45722</v>
      </c>
      <c r="L81" s="50">
        <v>21000</v>
      </c>
      <c r="M81" s="50">
        <v>2</v>
      </c>
      <c r="N81" s="50">
        <f t="shared" si="5"/>
        <v>42000</v>
      </c>
      <c r="O81" s="50">
        <v>8400</v>
      </c>
      <c r="P81" s="44"/>
      <c r="Q81" s="44"/>
    </row>
    <row r="82" spans="1:17" x14ac:dyDescent="0.2">
      <c r="A82" s="42" t="s">
        <v>11</v>
      </c>
      <c r="B82" s="42" t="s">
        <v>21</v>
      </c>
      <c r="C82" s="43">
        <v>45728</v>
      </c>
      <c r="D82" s="42">
        <v>50</v>
      </c>
      <c r="E82" s="49">
        <v>60</v>
      </c>
      <c r="F82" s="42">
        <f t="shared" si="4"/>
        <v>3000</v>
      </c>
      <c r="G82" s="42">
        <v>600</v>
      </c>
      <c r="H82" s="44"/>
      <c r="I82" s="45" t="s">
        <v>6</v>
      </c>
      <c r="J82" s="45" t="s">
        <v>8</v>
      </c>
      <c r="K82" s="46">
        <v>45713</v>
      </c>
      <c r="L82" s="50">
        <v>22000</v>
      </c>
      <c r="M82" s="50">
        <v>2</v>
      </c>
      <c r="N82" s="50">
        <f t="shared" si="5"/>
        <v>44000</v>
      </c>
      <c r="O82" s="50">
        <v>8800</v>
      </c>
      <c r="P82" s="44"/>
      <c r="Q82" s="44"/>
    </row>
    <row r="83" spans="1:17" x14ac:dyDescent="0.2">
      <c r="A83" s="42" t="s">
        <v>11</v>
      </c>
      <c r="B83" s="42" t="s">
        <v>24</v>
      </c>
      <c r="C83" s="43">
        <v>45756</v>
      </c>
      <c r="D83" s="42">
        <v>60</v>
      </c>
      <c r="E83" s="49">
        <v>50</v>
      </c>
      <c r="F83" s="42">
        <f t="shared" si="4"/>
        <v>3000</v>
      </c>
      <c r="G83" s="42">
        <v>600</v>
      </c>
      <c r="H83" s="44"/>
      <c r="I83" s="45" t="s">
        <v>6</v>
      </c>
      <c r="J83" s="45" t="s">
        <v>8</v>
      </c>
      <c r="K83" s="46">
        <v>45738</v>
      </c>
      <c r="L83" s="50">
        <v>23000</v>
      </c>
      <c r="M83" s="50">
        <v>2</v>
      </c>
      <c r="N83" s="50">
        <f t="shared" si="5"/>
        <v>46000</v>
      </c>
      <c r="O83" s="50">
        <v>9200</v>
      </c>
      <c r="P83" s="44"/>
      <c r="Q83" s="44"/>
    </row>
    <row r="84" spans="1:17" x14ac:dyDescent="0.2">
      <c r="A84" s="42" t="s">
        <v>11</v>
      </c>
      <c r="B84" s="42" t="s">
        <v>12</v>
      </c>
      <c r="C84" s="43">
        <v>45768</v>
      </c>
      <c r="D84" s="42">
        <v>85</v>
      </c>
      <c r="E84" s="49">
        <v>35</v>
      </c>
      <c r="F84" s="42">
        <f t="shared" si="4"/>
        <v>2975</v>
      </c>
      <c r="G84" s="42">
        <v>595</v>
      </c>
      <c r="H84" s="44"/>
      <c r="I84" s="45" t="s">
        <v>6</v>
      </c>
      <c r="J84" s="45" t="s">
        <v>8</v>
      </c>
      <c r="K84" s="46">
        <v>45758</v>
      </c>
      <c r="L84" s="50">
        <v>24000</v>
      </c>
      <c r="M84" s="50">
        <v>2</v>
      </c>
      <c r="N84" s="50">
        <f t="shared" si="5"/>
        <v>48000</v>
      </c>
      <c r="O84" s="50">
        <v>9600</v>
      </c>
      <c r="P84" s="44"/>
      <c r="Q84" s="44"/>
    </row>
    <row r="85" spans="1:17" x14ac:dyDescent="0.2">
      <c r="A85" s="42" t="s">
        <v>11</v>
      </c>
      <c r="B85" s="42" t="s">
        <v>24</v>
      </c>
      <c r="C85" s="43">
        <v>45788</v>
      </c>
      <c r="D85" s="42">
        <v>65</v>
      </c>
      <c r="E85" s="49">
        <v>45</v>
      </c>
      <c r="F85" s="42">
        <f t="shared" si="4"/>
        <v>2925</v>
      </c>
      <c r="G85" s="42">
        <v>585</v>
      </c>
      <c r="H85" s="44"/>
      <c r="I85" s="45" t="s">
        <v>6</v>
      </c>
      <c r="J85" s="45" t="s">
        <v>7</v>
      </c>
      <c r="K85" s="46">
        <v>45721</v>
      </c>
      <c r="L85" s="50">
        <v>56000</v>
      </c>
      <c r="M85" s="50">
        <v>1</v>
      </c>
      <c r="N85" s="50">
        <f t="shared" si="5"/>
        <v>56000</v>
      </c>
      <c r="O85" s="50">
        <v>11200</v>
      </c>
      <c r="P85" s="44"/>
      <c r="Q85" s="44"/>
    </row>
    <row r="86" spans="1:17" x14ac:dyDescent="0.2">
      <c r="A86" s="42" t="s">
        <v>11</v>
      </c>
      <c r="B86" s="42" t="s">
        <v>21</v>
      </c>
      <c r="C86" s="43">
        <v>45693</v>
      </c>
      <c r="D86" s="42">
        <v>45</v>
      </c>
      <c r="E86" s="49">
        <v>60</v>
      </c>
      <c r="F86" s="42">
        <f t="shared" si="4"/>
        <v>2700</v>
      </c>
      <c r="G86" s="42">
        <v>540</v>
      </c>
      <c r="H86" s="44"/>
      <c r="I86" s="45" t="s">
        <v>6</v>
      </c>
      <c r="J86" s="45" t="s">
        <v>7</v>
      </c>
      <c r="K86" s="46">
        <v>45734</v>
      </c>
      <c r="L86" s="50">
        <v>57000</v>
      </c>
      <c r="M86" s="50">
        <v>1</v>
      </c>
      <c r="N86" s="50">
        <f t="shared" si="5"/>
        <v>57000</v>
      </c>
      <c r="O86" s="50">
        <v>11400</v>
      </c>
      <c r="P86" s="44"/>
      <c r="Q86" s="44"/>
    </row>
    <row r="87" spans="1:17" x14ac:dyDescent="0.2">
      <c r="A87" s="42" t="s">
        <v>11</v>
      </c>
      <c r="B87" s="42" t="s">
        <v>12</v>
      </c>
      <c r="C87" s="43">
        <v>45740</v>
      </c>
      <c r="D87" s="42">
        <v>90</v>
      </c>
      <c r="E87" s="49">
        <v>30</v>
      </c>
      <c r="F87" s="42">
        <f t="shared" si="4"/>
        <v>2700</v>
      </c>
      <c r="G87" s="42">
        <v>540</v>
      </c>
      <c r="H87" s="44"/>
      <c r="I87" s="45" t="s">
        <v>6</v>
      </c>
      <c r="J87" s="45" t="s">
        <v>7</v>
      </c>
      <c r="K87" s="46">
        <v>45700</v>
      </c>
      <c r="L87" s="50">
        <v>58000</v>
      </c>
      <c r="M87" s="50">
        <v>1</v>
      </c>
      <c r="N87" s="50">
        <f t="shared" si="5"/>
        <v>58000</v>
      </c>
      <c r="O87" s="50">
        <v>11600</v>
      </c>
      <c r="P87" s="44"/>
      <c r="Q87" s="44"/>
    </row>
    <row r="88" spans="1:17" x14ac:dyDescent="0.2">
      <c r="A88" s="42" t="s">
        <v>11</v>
      </c>
      <c r="B88" s="42" t="s">
        <v>24</v>
      </c>
      <c r="C88" s="43">
        <v>45736</v>
      </c>
      <c r="D88" s="42">
        <v>65</v>
      </c>
      <c r="E88" s="49">
        <v>40</v>
      </c>
      <c r="F88" s="42">
        <f t="shared" si="4"/>
        <v>2600</v>
      </c>
      <c r="G88" s="42">
        <v>520</v>
      </c>
      <c r="H88" s="44"/>
      <c r="I88" s="45" t="s">
        <v>6</v>
      </c>
      <c r="J88" s="45" t="s">
        <v>7</v>
      </c>
      <c r="K88" s="46">
        <v>45786</v>
      </c>
      <c r="L88" s="50">
        <v>58000</v>
      </c>
      <c r="M88" s="50">
        <v>1</v>
      </c>
      <c r="N88" s="50">
        <f t="shared" si="5"/>
        <v>58000</v>
      </c>
      <c r="O88" s="50">
        <v>11600</v>
      </c>
      <c r="P88" s="44"/>
      <c r="Q88" s="44"/>
    </row>
    <row r="89" spans="1:17" x14ac:dyDescent="0.2">
      <c r="A89" s="42" t="s">
        <v>11</v>
      </c>
      <c r="B89" s="42" t="s">
        <v>24</v>
      </c>
      <c r="C89" s="43">
        <v>45706</v>
      </c>
      <c r="D89" s="42">
        <v>60</v>
      </c>
      <c r="E89" s="49">
        <v>40</v>
      </c>
      <c r="F89" s="42">
        <f t="shared" si="4"/>
        <v>2400</v>
      </c>
      <c r="G89" s="42">
        <v>480</v>
      </c>
      <c r="H89" s="44"/>
      <c r="I89" s="45" t="s">
        <v>6</v>
      </c>
      <c r="J89" s="45" t="s">
        <v>7</v>
      </c>
      <c r="K89" s="46">
        <v>45754</v>
      </c>
      <c r="L89" s="50">
        <v>59000</v>
      </c>
      <c r="M89" s="50">
        <v>1</v>
      </c>
      <c r="N89" s="50">
        <f t="shared" si="5"/>
        <v>59000</v>
      </c>
      <c r="O89" s="50">
        <v>11800</v>
      </c>
      <c r="P89" s="44"/>
      <c r="Q89" s="44"/>
    </row>
    <row r="90" spans="1:17" x14ac:dyDescent="0.2">
      <c r="A90" s="42" t="s">
        <v>11</v>
      </c>
      <c r="B90" s="42" t="s">
        <v>21</v>
      </c>
      <c r="C90" s="43">
        <v>45784</v>
      </c>
      <c r="D90" s="42">
        <v>48</v>
      </c>
      <c r="E90" s="49">
        <v>50</v>
      </c>
      <c r="F90" s="42">
        <f t="shared" si="4"/>
        <v>2400</v>
      </c>
      <c r="G90" s="42">
        <v>480</v>
      </c>
      <c r="H90" s="44"/>
      <c r="I90" s="45" t="s">
        <v>6</v>
      </c>
      <c r="J90" s="45" t="s">
        <v>8</v>
      </c>
      <c r="K90" s="46">
        <v>45665</v>
      </c>
      <c r="L90" s="50">
        <v>20000</v>
      </c>
      <c r="M90" s="50">
        <v>3</v>
      </c>
      <c r="N90" s="50">
        <f t="shared" si="5"/>
        <v>60000</v>
      </c>
      <c r="O90" s="50">
        <v>12000</v>
      </c>
      <c r="P90" s="44"/>
      <c r="Q90" s="44"/>
    </row>
    <row r="91" spans="1:17" x14ac:dyDescent="0.2">
      <c r="A91" s="42" t="s">
        <v>11</v>
      </c>
      <c r="B91" s="42" t="s">
        <v>21</v>
      </c>
      <c r="C91" s="43">
        <v>45748</v>
      </c>
      <c r="D91" s="42">
        <v>45</v>
      </c>
      <c r="E91" s="49">
        <v>50</v>
      </c>
      <c r="F91" s="42">
        <f t="shared" si="4"/>
        <v>2250</v>
      </c>
      <c r="G91" s="42">
        <v>450</v>
      </c>
      <c r="H91" s="44"/>
      <c r="I91" s="45" t="s">
        <v>6</v>
      </c>
      <c r="J91" s="45" t="s">
        <v>7</v>
      </c>
      <c r="K91" s="46">
        <v>45770</v>
      </c>
      <c r="L91" s="50">
        <v>60000</v>
      </c>
      <c r="M91" s="50">
        <v>1</v>
      </c>
      <c r="N91" s="50">
        <f t="shared" si="5"/>
        <v>60000</v>
      </c>
      <c r="O91" s="50">
        <v>12000</v>
      </c>
      <c r="P91" s="44"/>
      <c r="Q91" s="44"/>
    </row>
    <row r="92" spans="1:17" x14ac:dyDescent="0.2">
      <c r="A92" s="42" t="s">
        <v>11</v>
      </c>
      <c r="B92" s="42" t="s">
        <v>24</v>
      </c>
      <c r="C92" s="43">
        <v>45772</v>
      </c>
      <c r="D92" s="42">
        <v>70</v>
      </c>
      <c r="E92" s="49">
        <v>30</v>
      </c>
      <c r="F92" s="42">
        <f t="shared" si="4"/>
        <v>2100</v>
      </c>
      <c r="G92" s="42">
        <v>420</v>
      </c>
      <c r="H92" s="44"/>
      <c r="I92" s="45" t="s">
        <v>6</v>
      </c>
      <c r="J92" s="45" t="s">
        <v>7</v>
      </c>
      <c r="K92" s="46">
        <v>45662</v>
      </c>
      <c r="L92" s="50">
        <v>55000</v>
      </c>
      <c r="M92" s="50">
        <v>2</v>
      </c>
      <c r="N92" s="50">
        <f t="shared" si="5"/>
        <v>110000</v>
      </c>
      <c r="O92" s="50">
        <v>22000</v>
      </c>
      <c r="P92" s="44"/>
      <c r="Q92" s="44"/>
    </row>
    <row r="93" spans="1:17" x14ac:dyDescent="0.2">
      <c r="A93" s="42" t="s">
        <v>11</v>
      </c>
      <c r="B93" s="42" t="s">
        <v>21</v>
      </c>
      <c r="C93" s="43">
        <v>45764</v>
      </c>
      <c r="D93" s="42">
        <v>50</v>
      </c>
      <c r="E93" s="49">
        <v>40</v>
      </c>
      <c r="F93" s="42">
        <f t="shared" si="4"/>
        <v>2000</v>
      </c>
      <c r="G93" s="42">
        <v>400</v>
      </c>
      <c r="H93" s="44"/>
      <c r="I93" s="45" t="s">
        <v>6</v>
      </c>
      <c r="J93" s="45" t="s">
        <v>7</v>
      </c>
      <c r="K93" s="46">
        <v>45741</v>
      </c>
      <c r="L93" s="50">
        <v>55000</v>
      </c>
      <c r="M93" s="50">
        <v>2</v>
      </c>
      <c r="N93" s="50">
        <f t="shared" si="5"/>
        <v>110000</v>
      </c>
      <c r="O93" s="50">
        <v>22000</v>
      </c>
      <c r="P93" s="44"/>
      <c r="Q93" s="44"/>
    </row>
    <row r="94" spans="1:17" x14ac:dyDescent="0.2">
      <c r="A94" s="44"/>
      <c r="B94" s="44"/>
      <c r="C94" s="44"/>
      <c r="D94" s="44"/>
      <c r="E94" s="44"/>
      <c r="F94" s="45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</row>
    <row r="95" spans="1:17" x14ac:dyDescent="0.2">
      <c r="A95" s="44"/>
      <c r="B95" s="44"/>
      <c r="C95" s="44"/>
      <c r="D95" s="44"/>
      <c r="E95" s="44"/>
      <c r="F95" s="45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</row>
    <row r="96" spans="1:17" ht="18" x14ac:dyDescent="0.2">
      <c r="F96" s="2"/>
    </row>
    <row r="97" spans="6:6" ht="18" x14ac:dyDescent="0.2">
      <c r="F97" s="2"/>
    </row>
  </sheetData>
  <sortState xmlns:xlrd2="http://schemas.microsoft.com/office/spreadsheetml/2017/richdata2" ref="I6:O93">
    <sortCondition ref="O6:O93"/>
  </sortState>
  <conditionalFormatting sqref="I5:O9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{5780284B-28B9-4BB2-90F4-373455C5E620}</x14:id>
        </ext>
      </extLst>
    </cfRule>
  </conditionalFormatting>
  <conditionalFormatting sqref="A5:G93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{65C76CEA-2AC7-40E8-8038-47D601394C34}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80284B-28B9-4BB2-90F4-373455C5E6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I5:O93</xm:sqref>
        </x14:conditionalFormatting>
        <x14:conditionalFormatting xmlns:xm="http://schemas.microsoft.com/office/excel/2006/main">
          <x14:cfRule type="dataBar" id="{65C76CEA-2AC7-40E8-8038-47D601394C3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A5:G93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E3DA-7BB3-48FB-9A36-710844E9F452}">
  <dimension ref="A3:H136"/>
  <sheetViews>
    <sheetView zoomScale="73" zoomScaleNormal="91" workbookViewId="0">
      <selection activeCell="Z39" sqref="Z39"/>
    </sheetView>
  </sheetViews>
  <sheetFormatPr defaultRowHeight="14.25" x14ac:dyDescent="0.2"/>
  <cols>
    <col min="1" max="1" width="12.5" customWidth="1"/>
    <col min="2" max="2" width="11.375" customWidth="1"/>
    <col min="3" max="3" width="11.5" customWidth="1"/>
    <col min="4" max="4" width="8.375" customWidth="1"/>
    <col min="5" max="5" width="6.5" customWidth="1"/>
    <col min="6" max="6" width="9.75" customWidth="1"/>
    <col min="7" max="7" width="8.375" customWidth="1"/>
    <col min="8" max="8" width="21.375" customWidth="1"/>
    <col min="9" max="9" width="6.5" customWidth="1"/>
    <col min="10" max="10" width="5.75" bestFit="1" customWidth="1"/>
    <col min="11" max="11" width="12.25" bestFit="1" customWidth="1"/>
    <col min="12" max="12" width="10.625" bestFit="1" customWidth="1"/>
    <col min="13" max="20" width="6.125" bestFit="1" customWidth="1"/>
    <col min="21" max="48" width="6.375" bestFit="1" customWidth="1"/>
    <col min="49" max="78" width="6" bestFit="1" customWidth="1"/>
    <col min="79" max="90" width="6.625" bestFit="1" customWidth="1"/>
    <col min="91" max="91" width="9.875" bestFit="1" customWidth="1"/>
  </cols>
  <sheetData>
    <row r="3" spans="1:3" x14ac:dyDescent="0.2">
      <c r="A3" s="3" t="s">
        <v>27</v>
      </c>
      <c r="B3" t="s">
        <v>30</v>
      </c>
      <c r="C3" t="s">
        <v>31</v>
      </c>
    </row>
    <row r="4" spans="1:3" x14ac:dyDescent="0.2">
      <c r="A4" s="4" t="s">
        <v>9</v>
      </c>
      <c r="B4" s="5">
        <v>110500</v>
      </c>
      <c r="C4" s="5">
        <v>22100</v>
      </c>
    </row>
    <row r="5" spans="1:3" x14ac:dyDescent="0.2">
      <c r="A5" s="4" t="s">
        <v>6</v>
      </c>
      <c r="B5" s="5">
        <v>1053300</v>
      </c>
      <c r="C5" s="5">
        <v>210660</v>
      </c>
    </row>
    <row r="6" spans="1:3" x14ac:dyDescent="0.2">
      <c r="A6" s="4" t="s">
        <v>13</v>
      </c>
      <c r="B6" s="5">
        <v>347300</v>
      </c>
      <c r="C6" s="5">
        <v>69460</v>
      </c>
    </row>
    <row r="7" spans="1:3" x14ac:dyDescent="0.2">
      <c r="A7" s="4" t="s">
        <v>11</v>
      </c>
      <c r="B7" s="5">
        <v>65625</v>
      </c>
      <c r="C7" s="5">
        <v>13125</v>
      </c>
    </row>
    <row r="8" spans="1:3" x14ac:dyDescent="0.2">
      <c r="A8" s="4" t="s">
        <v>28</v>
      </c>
      <c r="B8" s="5">
        <v>1576725</v>
      </c>
      <c r="C8" s="5">
        <v>315345</v>
      </c>
    </row>
    <row r="18" spans="1:3" x14ac:dyDescent="0.2">
      <c r="A18" s="3" t="s">
        <v>27</v>
      </c>
      <c r="B18" t="s">
        <v>29</v>
      </c>
      <c r="C18" t="s">
        <v>30</v>
      </c>
    </row>
    <row r="19" spans="1:3" x14ac:dyDescent="0.2">
      <c r="A19" s="4" t="s">
        <v>25</v>
      </c>
      <c r="B19" s="5">
        <v>160000</v>
      </c>
      <c r="C19" s="5">
        <v>160000</v>
      </c>
    </row>
    <row r="20" spans="1:3" x14ac:dyDescent="0.2">
      <c r="A20" s="4" t="s">
        <v>14</v>
      </c>
      <c r="B20" s="5">
        <v>12600</v>
      </c>
      <c r="C20" s="5">
        <v>40100</v>
      </c>
    </row>
    <row r="21" spans="1:3" x14ac:dyDescent="0.2">
      <c r="A21" s="4" t="s">
        <v>19</v>
      </c>
      <c r="B21" s="5">
        <v>15500</v>
      </c>
      <c r="C21" s="5">
        <v>46300</v>
      </c>
    </row>
    <row r="22" spans="1:3" x14ac:dyDescent="0.2">
      <c r="A22" s="4" t="s">
        <v>20</v>
      </c>
      <c r="B22" s="5">
        <v>17600</v>
      </c>
      <c r="C22" s="5">
        <v>31600</v>
      </c>
    </row>
    <row r="23" spans="1:3" x14ac:dyDescent="0.2">
      <c r="A23" s="4" t="s">
        <v>16</v>
      </c>
      <c r="B23" s="5">
        <v>10400</v>
      </c>
      <c r="C23" s="5">
        <v>24800</v>
      </c>
    </row>
    <row r="24" spans="1:3" x14ac:dyDescent="0.2">
      <c r="A24" s="4" t="s">
        <v>7</v>
      </c>
      <c r="B24" s="5">
        <v>458000</v>
      </c>
      <c r="C24" s="5">
        <v>568000</v>
      </c>
    </row>
    <row r="25" spans="1:3" x14ac:dyDescent="0.2">
      <c r="A25" s="4" t="s">
        <v>8</v>
      </c>
      <c r="B25" s="5">
        <v>155000</v>
      </c>
      <c r="C25" s="5">
        <v>285000</v>
      </c>
    </row>
    <row r="26" spans="1:3" x14ac:dyDescent="0.2">
      <c r="A26" s="4" t="s">
        <v>17</v>
      </c>
      <c r="B26" s="5">
        <v>770</v>
      </c>
      <c r="C26" s="5">
        <v>16150</v>
      </c>
    </row>
    <row r="27" spans="1:3" x14ac:dyDescent="0.2">
      <c r="A27" s="4" t="s">
        <v>12</v>
      </c>
      <c r="B27" s="5">
        <v>595</v>
      </c>
      <c r="C27" s="5">
        <v>24100</v>
      </c>
    </row>
    <row r="28" spans="1:3" x14ac:dyDescent="0.2">
      <c r="A28" s="4" t="s">
        <v>10</v>
      </c>
      <c r="B28" s="5">
        <v>9000</v>
      </c>
      <c r="C28" s="5">
        <v>34450</v>
      </c>
    </row>
    <row r="29" spans="1:3" x14ac:dyDescent="0.2">
      <c r="A29" s="4" t="s">
        <v>22</v>
      </c>
      <c r="B29" s="5">
        <v>104000</v>
      </c>
      <c r="C29" s="5">
        <v>104000</v>
      </c>
    </row>
    <row r="30" spans="1:3" x14ac:dyDescent="0.2">
      <c r="A30" s="4" t="s">
        <v>21</v>
      </c>
      <c r="B30" s="5">
        <v>238</v>
      </c>
      <c r="C30" s="5">
        <v>12350</v>
      </c>
    </row>
    <row r="31" spans="1:3" x14ac:dyDescent="0.2">
      <c r="A31" s="4" t="s">
        <v>18</v>
      </c>
      <c r="B31" s="5">
        <v>31200</v>
      </c>
      <c r="C31" s="5">
        <v>43200</v>
      </c>
    </row>
    <row r="32" spans="1:3" x14ac:dyDescent="0.2">
      <c r="A32" s="4" t="s">
        <v>15</v>
      </c>
      <c r="B32" s="5">
        <v>86000</v>
      </c>
      <c r="C32" s="5">
        <v>154000</v>
      </c>
    </row>
    <row r="33" spans="1:8" x14ac:dyDescent="0.2">
      <c r="A33" s="4" t="s">
        <v>23</v>
      </c>
      <c r="B33" s="5">
        <v>3800</v>
      </c>
      <c r="C33" s="5">
        <v>19650</v>
      </c>
    </row>
    <row r="34" spans="1:8" x14ac:dyDescent="0.2">
      <c r="A34" s="4" t="s">
        <v>24</v>
      </c>
      <c r="B34" s="5">
        <v>320</v>
      </c>
      <c r="C34" s="5">
        <v>13025</v>
      </c>
    </row>
    <row r="35" spans="1:8" x14ac:dyDescent="0.2">
      <c r="A35" s="4" t="s">
        <v>28</v>
      </c>
      <c r="B35" s="5">
        <v>1065023</v>
      </c>
      <c r="C35" s="5">
        <v>1576725</v>
      </c>
    </row>
    <row r="38" spans="1:8" x14ac:dyDescent="0.2">
      <c r="A38" s="3" t="s">
        <v>27</v>
      </c>
      <c r="B38" t="s">
        <v>30</v>
      </c>
    </row>
    <row r="39" spans="1:8" x14ac:dyDescent="0.2">
      <c r="A39" s="4" t="s">
        <v>36</v>
      </c>
      <c r="B39" s="5">
        <v>259000</v>
      </c>
    </row>
    <row r="40" spans="1:8" x14ac:dyDescent="0.2">
      <c r="A40" s="4" t="s">
        <v>32</v>
      </c>
      <c r="B40" s="5">
        <v>173500</v>
      </c>
    </row>
    <row r="41" spans="1:8" x14ac:dyDescent="0.2">
      <c r="A41" s="4" t="s">
        <v>33</v>
      </c>
      <c r="B41" s="5">
        <v>532225</v>
      </c>
    </row>
    <row r="42" spans="1:8" x14ac:dyDescent="0.2">
      <c r="A42" s="4" t="s">
        <v>34</v>
      </c>
      <c r="B42" s="5">
        <v>431325</v>
      </c>
    </row>
    <row r="43" spans="1:8" x14ac:dyDescent="0.2">
      <c r="A43" s="4" t="s">
        <v>35</v>
      </c>
      <c r="B43" s="5">
        <v>180675</v>
      </c>
    </row>
    <row r="44" spans="1:8" x14ac:dyDescent="0.2">
      <c r="A44" s="4" t="s">
        <v>28</v>
      </c>
      <c r="B44" s="5">
        <v>1576725</v>
      </c>
    </row>
    <row r="46" spans="1:8" ht="18.75" thickBot="1" x14ac:dyDescent="0.25">
      <c r="A46" s="3" t="s">
        <v>27</v>
      </c>
      <c r="B46" t="s">
        <v>30</v>
      </c>
      <c r="C46" s="37"/>
      <c r="D46" s="37"/>
      <c r="E46" s="37"/>
      <c r="F46" s="37"/>
      <c r="G46" s="37"/>
      <c r="H46" s="37"/>
    </row>
    <row r="47" spans="1:8" ht="19.5" thickTop="1" thickBot="1" x14ac:dyDescent="0.25">
      <c r="A47" s="4" t="s">
        <v>25</v>
      </c>
      <c r="B47" s="5">
        <v>160000</v>
      </c>
      <c r="C47" s="39"/>
      <c r="D47" s="40"/>
      <c r="E47" s="40"/>
      <c r="F47" s="38"/>
      <c r="G47" s="38"/>
      <c r="H47" s="41"/>
    </row>
    <row r="48" spans="1:8" ht="19.5" thickTop="1" thickBot="1" x14ac:dyDescent="0.25">
      <c r="A48" s="36" t="s">
        <v>41</v>
      </c>
      <c r="B48" s="5">
        <v>34000</v>
      </c>
      <c r="C48" s="39"/>
      <c r="D48" s="40"/>
      <c r="E48" s="40"/>
      <c r="F48" s="38"/>
      <c r="G48" s="38"/>
      <c r="H48" s="41"/>
    </row>
    <row r="49" spans="1:8" ht="19.5" thickTop="1" thickBot="1" x14ac:dyDescent="0.25">
      <c r="A49" s="36" t="s">
        <v>39</v>
      </c>
      <c r="B49" s="5">
        <v>93000</v>
      </c>
      <c r="C49" s="39"/>
      <c r="D49" s="40"/>
      <c r="E49" s="40"/>
      <c r="F49" s="38"/>
      <c r="G49" s="38"/>
      <c r="H49" s="41"/>
    </row>
    <row r="50" spans="1:8" ht="19.5" thickTop="1" thickBot="1" x14ac:dyDescent="0.25">
      <c r="A50" s="36" t="s">
        <v>40</v>
      </c>
      <c r="B50" s="5">
        <v>33000</v>
      </c>
      <c r="C50" s="39"/>
      <c r="D50" s="40"/>
      <c r="E50" s="40"/>
      <c r="F50" s="38"/>
      <c r="G50" s="38"/>
      <c r="H50" s="41"/>
    </row>
    <row r="51" spans="1:8" ht="19.5" thickTop="1" thickBot="1" x14ac:dyDescent="0.25">
      <c r="A51" s="4" t="s">
        <v>14</v>
      </c>
      <c r="B51" s="5">
        <v>40100</v>
      </c>
      <c r="C51" s="39"/>
      <c r="D51" s="40"/>
      <c r="E51" s="40"/>
      <c r="F51" s="38"/>
      <c r="G51" s="38"/>
      <c r="H51" s="41"/>
    </row>
    <row r="52" spans="1:8" ht="19.5" thickTop="1" thickBot="1" x14ac:dyDescent="0.25">
      <c r="A52" s="36" t="s">
        <v>38</v>
      </c>
      <c r="B52" s="5">
        <v>7500</v>
      </c>
      <c r="C52" s="39"/>
      <c r="D52" s="40"/>
      <c r="E52" s="40"/>
      <c r="F52" s="38"/>
      <c r="G52" s="38"/>
      <c r="H52" s="41"/>
    </row>
    <row r="53" spans="1:8" ht="19.5" thickTop="1" thickBot="1" x14ac:dyDescent="0.25">
      <c r="A53" s="36" t="s">
        <v>42</v>
      </c>
      <c r="B53" s="5">
        <v>27400</v>
      </c>
      <c r="C53" s="39"/>
      <c r="D53" s="40"/>
      <c r="E53" s="40"/>
      <c r="F53" s="38"/>
      <c r="G53" s="38"/>
      <c r="H53" s="41"/>
    </row>
    <row r="54" spans="1:8" ht="19.5" thickTop="1" thickBot="1" x14ac:dyDescent="0.25">
      <c r="A54" s="36" t="s">
        <v>39</v>
      </c>
      <c r="B54" s="5">
        <v>5200</v>
      </c>
      <c r="C54" s="39"/>
      <c r="D54" s="40"/>
      <c r="E54" s="40"/>
      <c r="F54" s="38"/>
      <c r="G54" s="38"/>
      <c r="H54" s="41"/>
    </row>
    <row r="55" spans="1:8" ht="19.5" thickTop="1" thickBot="1" x14ac:dyDescent="0.25">
      <c r="A55" s="4" t="s">
        <v>19</v>
      </c>
      <c r="B55" s="5">
        <v>46300</v>
      </c>
      <c r="C55" s="39"/>
      <c r="D55" s="40"/>
      <c r="E55" s="40"/>
      <c r="F55" s="38"/>
      <c r="G55" s="38"/>
      <c r="H55" s="41"/>
    </row>
    <row r="56" spans="1:8" ht="19.5" thickTop="1" thickBot="1" x14ac:dyDescent="0.25">
      <c r="A56" s="36" t="s">
        <v>38</v>
      </c>
      <c r="B56" s="5">
        <v>18300</v>
      </c>
      <c r="C56" s="39"/>
      <c r="D56" s="40"/>
      <c r="E56" s="40"/>
      <c r="F56" s="38"/>
      <c r="G56" s="38"/>
      <c r="H56" s="41"/>
    </row>
    <row r="57" spans="1:8" ht="19.5" thickTop="1" thickBot="1" x14ac:dyDescent="0.25">
      <c r="A57" s="36" t="s">
        <v>42</v>
      </c>
      <c r="B57" s="5">
        <v>21600</v>
      </c>
      <c r="C57" s="39"/>
      <c r="D57" s="40"/>
      <c r="E57" s="40"/>
      <c r="F57" s="38"/>
      <c r="G57" s="38"/>
      <c r="H57" s="41"/>
    </row>
    <row r="58" spans="1:8" ht="19.5" thickTop="1" thickBot="1" x14ac:dyDescent="0.25">
      <c r="A58" s="36" t="s">
        <v>39</v>
      </c>
      <c r="B58" s="5">
        <v>6400</v>
      </c>
      <c r="C58" s="39"/>
      <c r="D58" s="40"/>
      <c r="E58" s="40"/>
      <c r="F58" s="38"/>
      <c r="G58" s="38"/>
      <c r="H58" s="41"/>
    </row>
    <row r="59" spans="1:8" ht="19.5" thickTop="1" thickBot="1" x14ac:dyDescent="0.25">
      <c r="A59" s="4" t="s">
        <v>20</v>
      </c>
      <c r="B59" s="5">
        <v>31600</v>
      </c>
      <c r="C59" s="39"/>
      <c r="D59" s="40"/>
      <c r="E59" s="40"/>
      <c r="F59" s="38"/>
      <c r="G59" s="38"/>
      <c r="H59" s="41"/>
    </row>
    <row r="60" spans="1:8" ht="19.5" thickTop="1" thickBot="1" x14ac:dyDescent="0.25">
      <c r="A60" s="36" t="s">
        <v>38</v>
      </c>
      <c r="B60" s="5">
        <v>14200</v>
      </c>
      <c r="C60" s="39"/>
      <c r="D60" s="40"/>
      <c r="E60" s="40"/>
      <c r="F60" s="38"/>
      <c r="G60" s="38"/>
      <c r="H60" s="41"/>
    </row>
    <row r="61" spans="1:8" ht="19.5" thickTop="1" thickBot="1" x14ac:dyDescent="0.25">
      <c r="A61" s="36" t="s">
        <v>39</v>
      </c>
      <c r="B61" s="5">
        <v>6800</v>
      </c>
      <c r="C61" s="39"/>
      <c r="D61" s="40"/>
      <c r="E61" s="40"/>
      <c r="F61" s="38"/>
      <c r="G61" s="38"/>
      <c r="H61" s="41"/>
    </row>
    <row r="62" spans="1:8" ht="19.5" thickTop="1" thickBot="1" x14ac:dyDescent="0.25">
      <c r="A62" s="36" t="s">
        <v>40</v>
      </c>
      <c r="B62" s="5">
        <v>10600</v>
      </c>
      <c r="C62" s="39"/>
      <c r="D62" s="40"/>
      <c r="E62" s="40"/>
      <c r="F62" s="38"/>
      <c r="G62" s="38"/>
      <c r="H62" s="41"/>
    </row>
    <row r="63" spans="1:8" ht="19.5" thickTop="1" thickBot="1" x14ac:dyDescent="0.25">
      <c r="A63" s="4" t="s">
        <v>16</v>
      </c>
      <c r="B63" s="5">
        <v>24800</v>
      </c>
      <c r="C63" s="39"/>
      <c r="D63" s="40"/>
      <c r="E63" s="40"/>
      <c r="F63" s="38"/>
      <c r="G63" s="38"/>
      <c r="H63" s="41"/>
    </row>
    <row r="64" spans="1:8" ht="19.5" thickTop="1" thickBot="1" x14ac:dyDescent="0.25">
      <c r="A64" s="36" t="s">
        <v>42</v>
      </c>
      <c r="B64" s="5">
        <v>4400</v>
      </c>
      <c r="C64" s="39"/>
      <c r="D64" s="40"/>
      <c r="E64" s="40"/>
      <c r="F64" s="38"/>
      <c r="G64" s="38"/>
      <c r="H64" s="41"/>
    </row>
    <row r="65" spans="1:8" ht="19.5" thickTop="1" thickBot="1" x14ac:dyDescent="0.25">
      <c r="A65" s="36" t="s">
        <v>41</v>
      </c>
      <c r="B65" s="5">
        <v>4200</v>
      </c>
      <c r="C65" s="39"/>
      <c r="D65" s="40"/>
      <c r="E65" s="40"/>
      <c r="F65" s="38"/>
      <c r="G65" s="38"/>
      <c r="H65" s="41"/>
    </row>
    <row r="66" spans="1:8" ht="19.5" thickTop="1" thickBot="1" x14ac:dyDescent="0.25">
      <c r="A66" s="36" t="s">
        <v>39</v>
      </c>
      <c r="B66" s="5">
        <v>10200</v>
      </c>
      <c r="C66" s="39"/>
      <c r="D66" s="40"/>
      <c r="E66" s="40"/>
      <c r="F66" s="38"/>
      <c r="G66" s="38"/>
      <c r="H66" s="41"/>
    </row>
    <row r="67" spans="1:8" ht="19.5" thickTop="1" thickBot="1" x14ac:dyDescent="0.25">
      <c r="A67" s="36" t="s">
        <v>40</v>
      </c>
      <c r="B67" s="5">
        <v>6000</v>
      </c>
      <c r="C67" s="39"/>
      <c r="D67" s="40"/>
      <c r="E67" s="40"/>
      <c r="F67" s="38"/>
      <c r="G67" s="38"/>
      <c r="H67" s="41"/>
    </row>
    <row r="68" spans="1:8" ht="19.5" thickTop="1" thickBot="1" x14ac:dyDescent="0.25">
      <c r="A68" s="4" t="s">
        <v>7</v>
      </c>
      <c r="B68" s="5">
        <v>568000</v>
      </c>
      <c r="C68" s="39"/>
      <c r="D68" s="40"/>
      <c r="E68" s="40"/>
      <c r="F68" s="38"/>
      <c r="G68" s="38"/>
      <c r="H68" s="41"/>
    </row>
    <row r="69" spans="1:8" ht="19.5" thickTop="1" thickBot="1" x14ac:dyDescent="0.25">
      <c r="A69" s="36" t="s">
        <v>38</v>
      </c>
      <c r="B69" s="5">
        <v>334000</v>
      </c>
      <c r="C69" s="39"/>
      <c r="D69" s="40"/>
      <c r="E69" s="40"/>
      <c r="F69" s="38"/>
      <c r="G69" s="38"/>
      <c r="H69" s="41"/>
    </row>
    <row r="70" spans="1:8" ht="19.5" thickTop="1" thickBot="1" x14ac:dyDescent="0.25">
      <c r="A70" s="36" t="s">
        <v>42</v>
      </c>
      <c r="B70" s="5">
        <v>60000</v>
      </c>
      <c r="C70" s="39"/>
      <c r="D70" s="40"/>
      <c r="E70" s="40"/>
      <c r="F70" s="38"/>
      <c r="G70" s="38"/>
      <c r="H70" s="41"/>
    </row>
    <row r="71" spans="1:8" ht="19.5" thickTop="1" thickBot="1" x14ac:dyDescent="0.25">
      <c r="A71" s="36" t="s">
        <v>41</v>
      </c>
      <c r="B71" s="5">
        <v>174000</v>
      </c>
      <c r="C71" s="39"/>
      <c r="D71" s="40"/>
      <c r="E71" s="40"/>
      <c r="F71" s="38"/>
      <c r="G71" s="38"/>
      <c r="H71" s="41"/>
    </row>
    <row r="72" spans="1:8" ht="19.5" thickTop="1" thickBot="1" x14ac:dyDescent="0.25">
      <c r="A72" s="4" t="s">
        <v>8</v>
      </c>
      <c r="B72" s="5">
        <v>285000</v>
      </c>
      <c r="C72" s="39"/>
      <c r="D72" s="40"/>
      <c r="E72" s="40"/>
      <c r="F72" s="38"/>
      <c r="G72" s="38"/>
      <c r="H72" s="41"/>
    </row>
    <row r="73" spans="1:8" ht="19.5" thickTop="1" thickBot="1" x14ac:dyDescent="0.25">
      <c r="A73" s="36" t="s">
        <v>42</v>
      </c>
      <c r="B73" s="5">
        <v>22000</v>
      </c>
      <c r="C73" s="39"/>
      <c r="D73" s="40"/>
      <c r="E73" s="40"/>
      <c r="F73" s="38"/>
      <c r="G73" s="38"/>
      <c r="H73" s="41"/>
    </row>
    <row r="74" spans="1:8" ht="19.5" thickTop="1" thickBot="1" x14ac:dyDescent="0.25">
      <c r="A74" s="36" t="s">
        <v>41</v>
      </c>
      <c r="B74" s="5">
        <v>23000</v>
      </c>
      <c r="C74" s="39"/>
      <c r="D74" s="40"/>
      <c r="E74" s="40"/>
      <c r="F74" s="38"/>
      <c r="G74" s="38"/>
      <c r="H74" s="41"/>
    </row>
    <row r="75" spans="1:8" ht="19.5" thickTop="1" thickBot="1" x14ac:dyDescent="0.25">
      <c r="A75" s="36" t="s">
        <v>39</v>
      </c>
      <c r="B75" s="5">
        <v>102000</v>
      </c>
      <c r="C75" s="39"/>
      <c r="D75" s="40"/>
      <c r="E75" s="40"/>
      <c r="F75" s="38"/>
      <c r="G75" s="38"/>
      <c r="H75" s="41"/>
    </row>
    <row r="76" spans="1:8" ht="19.5" thickTop="1" thickBot="1" x14ac:dyDescent="0.25">
      <c r="A76" s="36" t="s">
        <v>40</v>
      </c>
      <c r="B76" s="5">
        <v>138000</v>
      </c>
      <c r="C76" s="39"/>
      <c r="D76" s="40"/>
      <c r="E76" s="40"/>
      <c r="F76" s="38"/>
      <c r="G76" s="38"/>
      <c r="H76" s="41"/>
    </row>
    <row r="77" spans="1:8" ht="19.5" thickTop="1" thickBot="1" x14ac:dyDescent="0.25">
      <c r="A77" s="4" t="s">
        <v>17</v>
      </c>
      <c r="B77" s="5">
        <v>16150</v>
      </c>
      <c r="C77" s="39"/>
      <c r="D77" s="40"/>
      <c r="E77" s="40"/>
      <c r="F77" s="38"/>
      <c r="G77" s="38"/>
      <c r="H77" s="41"/>
    </row>
    <row r="78" spans="1:8" ht="19.5" thickTop="1" thickBot="1" x14ac:dyDescent="0.25">
      <c r="A78" s="36" t="s">
        <v>38</v>
      </c>
      <c r="B78" s="5">
        <v>3100</v>
      </c>
      <c r="C78" s="39"/>
      <c r="D78" s="40"/>
      <c r="E78" s="40"/>
      <c r="F78" s="38"/>
      <c r="G78" s="38"/>
      <c r="H78" s="41"/>
    </row>
    <row r="79" spans="1:8" ht="19.5" thickTop="1" thickBot="1" x14ac:dyDescent="0.25">
      <c r="A79" s="36" t="s">
        <v>42</v>
      </c>
      <c r="B79" s="5">
        <v>3200</v>
      </c>
      <c r="C79" s="39"/>
      <c r="D79" s="40"/>
      <c r="E79" s="40"/>
      <c r="F79" s="38"/>
      <c r="G79" s="38"/>
      <c r="H79" s="41"/>
    </row>
    <row r="80" spans="1:8" ht="19.5" thickTop="1" thickBot="1" x14ac:dyDescent="0.25">
      <c r="A80" s="36" t="s">
        <v>41</v>
      </c>
      <c r="B80" s="5">
        <v>3750</v>
      </c>
      <c r="C80" s="39"/>
      <c r="D80" s="40"/>
      <c r="E80" s="40"/>
      <c r="F80" s="38"/>
      <c r="G80" s="38"/>
      <c r="H80" s="41"/>
    </row>
    <row r="81" spans="1:8" ht="19.5" thickTop="1" thickBot="1" x14ac:dyDescent="0.25">
      <c r="A81" s="36" t="s">
        <v>39</v>
      </c>
      <c r="B81" s="5">
        <v>3100</v>
      </c>
      <c r="C81" s="39"/>
      <c r="D81" s="40"/>
      <c r="E81" s="40"/>
      <c r="F81" s="38"/>
      <c r="G81" s="38"/>
      <c r="H81" s="41"/>
    </row>
    <row r="82" spans="1:8" ht="19.5" thickTop="1" thickBot="1" x14ac:dyDescent="0.25">
      <c r="A82" s="36" t="s">
        <v>40</v>
      </c>
      <c r="B82" s="5">
        <v>3000</v>
      </c>
      <c r="C82" s="39"/>
      <c r="D82" s="40"/>
      <c r="E82" s="40"/>
      <c r="F82" s="38"/>
      <c r="G82" s="38"/>
      <c r="H82" s="41"/>
    </row>
    <row r="83" spans="1:8" ht="19.5" thickTop="1" thickBot="1" x14ac:dyDescent="0.25">
      <c r="A83" s="4" t="s">
        <v>12</v>
      </c>
      <c r="B83" s="5">
        <v>24100</v>
      </c>
      <c r="C83" s="39"/>
      <c r="D83" s="40"/>
      <c r="E83" s="40"/>
      <c r="F83" s="38"/>
      <c r="G83" s="38"/>
      <c r="H83" s="41"/>
    </row>
    <row r="84" spans="1:8" ht="19.5" thickTop="1" thickBot="1" x14ac:dyDescent="0.25">
      <c r="A84" s="36" t="s">
        <v>42</v>
      </c>
      <c r="B84" s="5">
        <v>10125</v>
      </c>
      <c r="C84" s="39"/>
      <c r="D84" s="40"/>
      <c r="E84" s="40"/>
      <c r="F84" s="38"/>
      <c r="G84" s="38"/>
      <c r="H84" s="41"/>
    </row>
    <row r="85" spans="1:8" ht="19.5" thickTop="1" thickBot="1" x14ac:dyDescent="0.25">
      <c r="A85" s="36" t="s">
        <v>41</v>
      </c>
      <c r="B85" s="5">
        <v>7400</v>
      </c>
      <c r="C85" s="39"/>
      <c r="D85" s="40"/>
      <c r="E85" s="40"/>
      <c r="F85" s="38"/>
      <c r="G85" s="38"/>
      <c r="H85" s="41"/>
    </row>
    <row r="86" spans="1:8" ht="19.5" thickTop="1" thickBot="1" x14ac:dyDescent="0.25">
      <c r="A86" s="36" t="s">
        <v>39</v>
      </c>
      <c r="B86" s="5">
        <v>3600</v>
      </c>
      <c r="C86" s="39"/>
      <c r="D86" s="40"/>
      <c r="E86" s="40"/>
      <c r="F86" s="38"/>
      <c r="G86" s="38"/>
      <c r="H86" s="41"/>
    </row>
    <row r="87" spans="1:8" ht="19.5" thickTop="1" thickBot="1" x14ac:dyDescent="0.25">
      <c r="A87" s="36" t="s">
        <v>40</v>
      </c>
      <c r="B87" s="5">
        <v>2975</v>
      </c>
      <c r="C87" s="39"/>
      <c r="D87" s="40"/>
      <c r="E87" s="40"/>
      <c r="F87" s="38"/>
      <c r="G87" s="38"/>
      <c r="H87" s="41"/>
    </row>
    <row r="88" spans="1:8" ht="19.5" thickTop="1" thickBot="1" x14ac:dyDescent="0.25">
      <c r="A88" s="4" t="s">
        <v>10</v>
      </c>
      <c r="B88" s="5">
        <v>34450</v>
      </c>
      <c r="C88" s="39"/>
      <c r="D88" s="40"/>
      <c r="E88" s="40"/>
      <c r="F88" s="38"/>
      <c r="G88" s="38"/>
      <c r="H88" s="41"/>
    </row>
    <row r="89" spans="1:8" ht="19.5" thickTop="1" thickBot="1" x14ac:dyDescent="0.25">
      <c r="A89" s="36" t="s">
        <v>38</v>
      </c>
      <c r="B89" s="5">
        <v>4800</v>
      </c>
      <c r="C89" s="39"/>
      <c r="D89" s="40"/>
      <c r="E89" s="40"/>
      <c r="F89" s="38"/>
      <c r="G89" s="38"/>
      <c r="H89" s="41"/>
    </row>
    <row r="90" spans="1:8" ht="19.5" thickTop="1" thickBot="1" x14ac:dyDescent="0.25">
      <c r="A90" s="36" t="s">
        <v>41</v>
      </c>
      <c r="B90" s="5">
        <v>13450</v>
      </c>
      <c r="C90" s="39"/>
      <c r="D90" s="40"/>
      <c r="E90" s="40"/>
      <c r="F90" s="38"/>
      <c r="G90" s="38"/>
      <c r="H90" s="41"/>
    </row>
    <row r="91" spans="1:8" ht="19.5" thickTop="1" thickBot="1" x14ac:dyDescent="0.25">
      <c r="A91" s="36" t="s">
        <v>39</v>
      </c>
      <c r="B91" s="5">
        <v>5000</v>
      </c>
      <c r="C91" s="39"/>
      <c r="D91" s="40"/>
      <c r="E91" s="40"/>
      <c r="F91" s="38"/>
      <c r="G91" s="38"/>
      <c r="H91" s="41"/>
    </row>
    <row r="92" spans="1:8" ht="19.5" thickTop="1" thickBot="1" x14ac:dyDescent="0.25">
      <c r="A92" s="36" t="s">
        <v>40</v>
      </c>
      <c r="B92" s="5">
        <v>11200</v>
      </c>
      <c r="C92" s="39"/>
      <c r="D92" s="40"/>
      <c r="E92" s="40"/>
      <c r="F92" s="38"/>
      <c r="G92" s="38"/>
      <c r="H92" s="41"/>
    </row>
    <row r="93" spans="1:8" ht="19.5" thickTop="1" thickBot="1" x14ac:dyDescent="0.25">
      <c r="A93" s="4" t="s">
        <v>22</v>
      </c>
      <c r="B93" s="5">
        <v>104000</v>
      </c>
      <c r="C93" s="39"/>
      <c r="D93" s="40"/>
      <c r="E93" s="40"/>
      <c r="F93" s="38"/>
      <c r="G93" s="38"/>
      <c r="H93" s="41"/>
    </row>
    <row r="94" spans="1:8" ht="19.5" thickTop="1" thickBot="1" x14ac:dyDescent="0.25">
      <c r="A94" s="36" t="s">
        <v>42</v>
      </c>
      <c r="B94" s="5">
        <v>22000</v>
      </c>
      <c r="C94" s="39"/>
      <c r="D94" s="40"/>
      <c r="E94" s="40"/>
      <c r="F94" s="38"/>
      <c r="G94" s="38"/>
      <c r="H94" s="41"/>
    </row>
    <row r="95" spans="1:8" ht="19.5" thickTop="1" thickBot="1" x14ac:dyDescent="0.25">
      <c r="A95" s="36" t="s">
        <v>41</v>
      </c>
      <c r="B95" s="5">
        <v>21000</v>
      </c>
      <c r="C95" s="39"/>
      <c r="D95" s="40"/>
      <c r="E95" s="40"/>
      <c r="F95" s="38"/>
      <c r="G95" s="38"/>
      <c r="H95" s="41"/>
    </row>
    <row r="96" spans="1:8" ht="19.5" thickTop="1" thickBot="1" x14ac:dyDescent="0.25">
      <c r="A96" s="36" t="s">
        <v>40</v>
      </c>
      <c r="B96" s="5">
        <v>61000</v>
      </c>
      <c r="C96" s="39"/>
      <c r="D96" s="40"/>
      <c r="E96" s="40"/>
      <c r="F96" s="38"/>
      <c r="G96" s="38"/>
      <c r="H96" s="41"/>
    </row>
    <row r="97" spans="1:8" ht="19.5" thickTop="1" thickBot="1" x14ac:dyDescent="0.25">
      <c r="A97" s="4" t="s">
        <v>21</v>
      </c>
      <c r="B97" s="5">
        <v>12350</v>
      </c>
      <c r="C97" s="39"/>
      <c r="D97" s="40"/>
      <c r="E97" s="40"/>
      <c r="F97" s="38"/>
      <c r="G97" s="38"/>
      <c r="H97" s="41"/>
    </row>
    <row r="98" spans="1:8" ht="19.5" thickTop="1" thickBot="1" x14ac:dyDescent="0.25">
      <c r="A98" s="36" t="s">
        <v>41</v>
      </c>
      <c r="B98" s="5">
        <v>4400</v>
      </c>
      <c r="C98" s="39"/>
      <c r="D98" s="40"/>
      <c r="E98" s="40"/>
      <c r="F98" s="38"/>
      <c r="G98" s="38"/>
      <c r="H98" s="41"/>
    </row>
    <row r="99" spans="1:8" ht="19.5" thickTop="1" thickBot="1" x14ac:dyDescent="0.25">
      <c r="A99" s="36" t="s">
        <v>39</v>
      </c>
      <c r="B99" s="5">
        <v>2700</v>
      </c>
      <c r="C99" s="39"/>
      <c r="D99" s="40"/>
      <c r="E99" s="40"/>
      <c r="F99" s="38"/>
      <c r="G99" s="38"/>
      <c r="H99" s="41"/>
    </row>
    <row r="100" spans="1:8" ht="19.5" thickTop="1" thickBot="1" x14ac:dyDescent="0.25">
      <c r="A100" s="36" t="s">
        <v>40</v>
      </c>
      <c r="B100" s="5">
        <v>5250</v>
      </c>
      <c r="C100" s="39"/>
      <c r="D100" s="40"/>
      <c r="E100" s="40"/>
      <c r="F100" s="38"/>
      <c r="G100" s="38"/>
      <c r="H100" s="41"/>
    </row>
    <row r="101" spans="1:8" ht="19.5" thickTop="1" thickBot="1" x14ac:dyDescent="0.25">
      <c r="A101" s="4" t="s">
        <v>18</v>
      </c>
      <c r="B101" s="5">
        <v>43200</v>
      </c>
      <c r="C101" s="39"/>
      <c r="D101" s="40"/>
      <c r="E101" s="40"/>
      <c r="F101" s="38"/>
      <c r="G101" s="38"/>
      <c r="H101" s="41"/>
    </row>
    <row r="102" spans="1:8" ht="19.5" thickTop="1" thickBot="1" x14ac:dyDescent="0.25">
      <c r="A102" s="36" t="s">
        <v>38</v>
      </c>
      <c r="B102" s="5">
        <v>6500</v>
      </c>
      <c r="C102" s="39"/>
      <c r="D102" s="40"/>
      <c r="E102" s="40"/>
      <c r="F102" s="38"/>
      <c r="G102" s="38"/>
      <c r="H102" s="41"/>
    </row>
    <row r="103" spans="1:8" ht="19.5" thickTop="1" thickBot="1" x14ac:dyDescent="0.25">
      <c r="A103" s="36" t="s">
        <v>42</v>
      </c>
      <c r="B103" s="5">
        <v>6200</v>
      </c>
      <c r="C103" s="39"/>
      <c r="D103" s="40"/>
      <c r="E103" s="40"/>
      <c r="F103" s="38"/>
      <c r="G103" s="38"/>
      <c r="H103" s="41"/>
    </row>
    <row r="104" spans="1:8" ht="19.5" thickTop="1" thickBot="1" x14ac:dyDescent="0.25">
      <c r="A104" s="36" t="s">
        <v>41</v>
      </c>
      <c r="B104" s="5">
        <v>30500</v>
      </c>
      <c r="C104" s="39"/>
      <c r="D104" s="40"/>
      <c r="E104" s="40"/>
      <c r="F104" s="38"/>
      <c r="G104" s="38"/>
      <c r="H104" s="41"/>
    </row>
    <row r="105" spans="1:8" ht="19.5" thickTop="1" thickBot="1" x14ac:dyDescent="0.25">
      <c r="A105" s="4" t="s">
        <v>15</v>
      </c>
      <c r="B105" s="5">
        <v>154000</v>
      </c>
      <c r="C105" s="39"/>
      <c r="D105" s="40"/>
      <c r="E105" s="40"/>
      <c r="F105" s="38"/>
      <c r="G105" s="38"/>
      <c r="H105" s="41"/>
    </row>
    <row r="106" spans="1:8" ht="19.5" thickTop="1" thickBot="1" x14ac:dyDescent="0.25">
      <c r="A106" s="36" t="s">
        <v>38</v>
      </c>
      <c r="B106" s="5">
        <v>70000</v>
      </c>
      <c r="C106" s="39"/>
      <c r="D106" s="40"/>
      <c r="E106" s="40"/>
      <c r="F106" s="38"/>
      <c r="G106" s="38"/>
      <c r="H106" s="41"/>
    </row>
    <row r="107" spans="1:8" ht="19.5" thickTop="1" thickBot="1" x14ac:dyDescent="0.25">
      <c r="A107" s="36" t="s">
        <v>42</v>
      </c>
      <c r="B107" s="5">
        <v>34000</v>
      </c>
      <c r="C107" s="39"/>
      <c r="D107" s="40"/>
      <c r="E107" s="40"/>
      <c r="F107" s="38"/>
      <c r="G107" s="38"/>
      <c r="H107" s="41"/>
    </row>
    <row r="108" spans="1:8" ht="19.5" thickTop="1" thickBot="1" x14ac:dyDescent="0.25">
      <c r="A108" s="36" t="s">
        <v>39</v>
      </c>
      <c r="B108" s="5">
        <v>50000</v>
      </c>
      <c r="C108" s="39"/>
      <c r="D108" s="40"/>
      <c r="E108" s="40"/>
      <c r="F108" s="38"/>
      <c r="G108" s="38"/>
      <c r="H108" s="41"/>
    </row>
    <row r="109" spans="1:8" ht="19.5" thickTop="1" thickBot="1" x14ac:dyDescent="0.25">
      <c r="A109" s="4" t="s">
        <v>23</v>
      </c>
      <c r="B109" s="5">
        <v>19650</v>
      </c>
      <c r="C109" s="39"/>
      <c r="D109" s="40"/>
      <c r="E109" s="40"/>
      <c r="F109" s="38"/>
      <c r="G109" s="38"/>
      <c r="H109" s="41"/>
    </row>
    <row r="110" spans="1:8" ht="19.5" thickTop="1" thickBot="1" x14ac:dyDescent="0.25">
      <c r="A110" s="36" t="s">
        <v>38</v>
      </c>
      <c r="B110" s="5">
        <v>4500</v>
      </c>
      <c r="C110" s="39"/>
      <c r="D110" s="40"/>
      <c r="E110" s="40"/>
      <c r="F110" s="38"/>
      <c r="G110" s="38"/>
      <c r="H110" s="41"/>
    </row>
    <row r="111" spans="1:8" ht="19.5" thickTop="1" thickBot="1" x14ac:dyDescent="0.25">
      <c r="A111" s="36" t="s">
        <v>42</v>
      </c>
      <c r="B111" s="5">
        <v>11950</v>
      </c>
      <c r="C111" s="39"/>
      <c r="D111" s="40"/>
      <c r="E111" s="40"/>
      <c r="F111" s="38"/>
      <c r="G111" s="38"/>
      <c r="H111" s="41"/>
    </row>
    <row r="112" spans="1:8" ht="19.5" thickTop="1" thickBot="1" x14ac:dyDescent="0.25">
      <c r="A112" s="36" t="s">
        <v>39</v>
      </c>
      <c r="B112" s="5">
        <v>3200</v>
      </c>
      <c r="C112" s="39"/>
      <c r="D112" s="40"/>
      <c r="E112" s="40"/>
      <c r="F112" s="38"/>
      <c r="G112" s="38"/>
      <c r="H112" s="41"/>
    </row>
    <row r="113" spans="1:8" ht="19.5" thickTop="1" thickBot="1" x14ac:dyDescent="0.25">
      <c r="A113" s="4" t="s">
        <v>24</v>
      </c>
      <c r="B113" s="5">
        <v>13025</v>
      </c>
      <c r="C113" s="39"/>
      <c r="D113" s="40"/>
      <c r="E113" s="40"/>
      <c r="F113" s="38"/>
      <c r="G113" s="38"/>
      <c r="H113" s="41"/>
    </row>
    <row r="114" spans="1:8" ht="19.5" thickTop="1" thickBot="1" x14ac:dyDescent="0.25">
      <c r="A114" s="36" t="s">
        <v>38</v>
      </c>
      <c r="B114" s="5">
        <v>8000</v>
      </c>
      <c r="C114" s="39"/>
      <c r="D114" s="40"/>
      <c r="E114" s="40"/>
      <c r="F114" s="38"/>
      <c r="G114" s="38"/>
      <c r="H114" s="41"/>
    </row>
    <row r="115" spans="1:8" ht="19.5" thickTop="1" thickBot="1" x14ac:dyDescent="0.25">
      <c r="A115" s="36" t="s">
        <v>39</v>
      </c>
      <c r="B115" s="5">
        <v>2100</v>
      </c>
      <c r="C115" s="39"/>
      <c r="D115" s="40"/>
      <c r="E115" s="40"/>
      <c r="F115" s="38"/>
      <c r="G115" s="38"/>
      <c r="H115" s="41"/>
    </row>
    <row r="116" spans="1:8" ht="19.5" thickTop="1" thickBot="1" x14ac:dyDescent="0.25">
      <c r="A116" s="36" t="s">
        <v>40</v>
      </c>
      <c r="B116" s="5">
        <v>2925</v>
      </c>
      <c r="C116" s="39"/>
      <c r="D116" s="40"/>
      <c r="E116" s="40"/>
      <c r="F116" s="38"/>
      <c r="G116" s="38"/>
      <c r="H116" s="41"/>
    </row>
    <row r="117" spans="1:8" ht="19.5" thickTop="1" thickBot="1" x14ac:dyDescent="0.25">
      <c r="A117" s="4" t="s">
        <v>28</v>
      </c>
      <c r="B117" s="5">
        <v>1576725</v>
      </c>
      <c r="C117" s="39"/>
      <c r="D117" s="40"/>
      <c r="E117" s="40"/>
      <c r="F117" s="38"/>
      <c r="G117" s="38"/>
      <c r="H117" s="41"/>
    </row>
    <row r="118" spans="1:8" ht="19.5" thickTop="1" thickBot="1" x14ac:dyDescent="0.25">
      <c r="A118" s="38"/>
      <c r="B118" s="38"/>
      <c r="C118" s="39"/>
      <c r="D118" s="40"/>
      <c r="E118" s="40"/>
      <c r="F118" s="38"/>
      <c r="G118" s="38"/>
      <c r="H118" s="41"/>
    </row>
    <row r="119" spans="1:8" ht="19.5" thickTop="1" thickBot="1" x14ac:dyDescent="0.25">
      <c r="A119" s="38"/>
      <c r="B119" s="38"/>
      <c r="C119" s="39"/>
      <c r="D119" s="40"/>
      <c r="E119" s="40"/>
      <c r="F119" s="38"/>
      <c r="G119" s="38"/>
      <c r="H119" s="41"/>
    </row>
    <row r="120" spans="1:8" ht="19.5" thickTop="1" thickBot="1" x14ac:dyDescent="0.25">
      <c r="A120" s="38"/>
      <c r="B120" s="38"/>
      <c r="C120" s="39"/>
      <c r="D120" s="40"/>
      <c r="E120" s="40"/>
      <c r="F120" s="38"/>
      <c r="G120" s="38"/>
      <c r="H120" s="41"/>
    </row>
    <row r="121" spans="1:8" ht="19.5" thickTop="1" thickBot="1" x14ac:dyDescent="0.25">
      <c r="A121" s="38"/>
      <c r="B121" s="38"/>
      <c r="C121" s="39"/>
      <c r="D121" s="40"/>
      <c r="E121" s="40"/>
      <c r="F121" s="38"/>
      <c r="G121" s="38"/>
      <c r="H121" s="41"/>
    </row>
    <row r="122" spans="1:8" ht="19.5" thickTop="1" thickBot="1" x14ac:dyDescent="0.25">
      <c r="A122" s="38"/>
      <c r="B122" s="38"/>
      <c r="C122" s="39"/>
      <c r="D122" s="40"/>
      <c r="E122" s="40"/>
      <c r="F122" s="38"/>
      <c r="G122" s="38"/>
      <c r="H122" s="41"/>
    </row>
    <row r="123" spans="1:8" ht="19.5" thickTop="1" thickBot="1" x14ac:dyDescent="0.25">
      <c r="A123" s="38"/>
      <c r="B123" s="38"/>
      <c r="C123" s="39"/>
      <c r="D123" s="40"/>
      <c r="E123" s="40"/>
      <c r="F123" s="38"/>
      <c r="G123" s="38"/>
      <c r="H123" s="41"/>
    </row>
    <row r="124" spans="1:8" ht="19.5" thickTop="1" thickBot="1" x14ac:dyDescent="0.25">
      <c r="A124" s="38"/>
      <c r="B124" s="38"/>
      <c r="C124" s="39"/>
      <c r="D124" s="40"/>
      <c r="E124" s="40"/>
      <c r="F124" s="38"/>
      <c r="G124" s="38"/>
      <c r="H124" s="41"/>
    </row>
    <row r="125" spans="1:8" ht="19.5" thickTop="1" thickBot="1" x14ac:dyDescent="0.25">
      <c r="A125" s="38"/>
      <c r="B125" s="38"/>
      <c r="C125" s="39"/>
      <c r="D125" s="40"/>
      <c r="E125" s="40"/>
      <c r="F125" s="38"/>
      <c r="G125" s="38"/>
      <c r="H125" s="41"/>
    </row>
    <row r="126" spans="1:8" ht="19.5" thickTop="1" thickBot="1" x14ac:dyDescent="0.25">
      <c r="A126" s="38"/>
      <c r="B126" s="38"/>
      <c r="C126" s="39"/>
      <c r="D126" s="40"/>
      <c r="E126" s="40"/>
      <c r="F126" s="38"/>
      <c r="G126" s="38"/>
      <c r="H126" s="41"/>
    </row>
    <row r="127" spans="1:8" ht="19.5" thickTop="1" thickBot="1" x14ac:dyDescent="0.25">
      <c r="A127" s="38"/>
      <c r="B127" s="38"/>
      <c r="C127" s="39"/>
      <c r="D127" s="40"/>
      <c r="E127" s="40"/>
      <c r="F127" s="38"/>
      <c r="G127" s="38"/>
      <c r="H127" s="41"/>
    </row>
    <row r="128" spans="1:8" ht="19.5" thickTop="1" thickBot="1" x14ac:dyDescent="0.25">
      <c r="A128" s="38"/>
      <c r="B128" s="38"/>
      <c r="C128" s="39"/>
      <c r="D128" s="40"/>
      <c r="E128" s="40"/>
      <c r="F128" s="38"/>
      <c r="G128" s="38"/>
      <c r="H128" s="41"/>
    </row>
    <row r="129" spans="1:8" ht="19.5" thickTop="1" thickBot="1" x14ac:dyDescent="0.25">
      <c r="A129" s="38"/>
      <c r="B129" s="38"/>
      <c r="C129" s="39"/>
      <c r="D129" s="40"/>
      <c r="E129" s="40"/>
      <c r="F129" s="38"/>
      <c r="G129" s="38"/>
      <c r="H129" s="41"/>
    </row>
    <row r="130" spans="1:8" ht="19.5" thickTop="1" thickBot="1" x14ac:dyDescent="0.25">
      <c r="A130" s="38"/>
      <c r="B130" s="38"/>
      <c r="C130" s="39"/>
      <c r="D130" s="40"/>
      <c r="E130" s="40"/>
      <c r="F130" s="38"/>
      <c r="G130" s="38"/>
      <c r="H130" s="41"/>
    </row>
    <row r="131" spans="1:8" ht="19.5" thickTop="1" thickBot="1" x14ac:dyDescent="0.25">
      <c r="A131" s="38"/>
      <c r="B131" s="38"/>
      <c r="C131" s="39"/>
      <c r="D131" s="40"/>
      <c r="E131" s="40"/>
      <c r="F131" s="38"/>
      <c r="G131" s="38"/>
      <c r="H131" s="41"/>
    </row>
    <row r="132" spans="1:8" ht="19.5" thickTop="1" thickBot="1" x14ac:dyDescent="0.25">
      <c r="A132" s="38"/>
      <c r="B132" s="38"/>
      <c r="C132" s="39"/>
      <c r="D132" s="40"/>
      <c r="E132" s="40"/>
      <c r="F132" s="38"/>
      <c r="G132" s="38"/>
      <c r="H132" s="41"/>
    </row>
    <row r="133" spans="1:8" ht="19.5" thickTop="1" thickBot="1" x14ac:dyDescent="0.25">
      <c r="A133" s="38"/>
      <c r="B133" s="38"/>
      <c r="C133" s="39"/>
      <c r="D133" s="40"/>
      <c r="E133" s="40"/>
      <c r="F133" s="38"/>
      <c r="G133" s="38"/>
      <c r="H133" s="41"/>
    </row>
    <row r="134" spans="1:8" ht="19.5" thickTop="1" thickBot="1" x14ac:dyDescent="0.25">
      <c r="A134" s="38"/>
      <c r="B134" s="38"/>
      <c r="C134" s="39"/>
      <c r="D134" s="40"/>
      <c r="E134" s="40"/>
      <c r="F134" s="38"/>
      <c r="G134" s="38"/>
      <c r="H134" s="41"/>
    </row>
    <row r="135" spans="1:8" ht="19.5" thickTop="1" thickBot="1" x14ac:dyDescent="0.25">
      <c r="A135" s="38"/>
      <c r="B135" s="38"/>
      <c r="C135" s="39"/>
      <c r="D135" s="40"/>
      <c r="E135" s="40"/>
      <c r="F135" s="38"/>
      <c r="G135" s="38"/>
      <c r="H135" s="41"/>
    </row>
    <row r="136" spans="1:8" ht="15" thickTop="1" x14ac:dyDescent="0.2"/>
  </sheetData>
  <conditionalFormatting sqref="A3:C8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{099B3D72-6B99-4FB1-BA4D-6D53F3663102}</x14:id>
        </ext>
      </extLst>
    </cfRule>
  </conditionalFormatting>
  <conditionalFormatting sqref="A18:D3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{4C1B5441-77B4-4ED6-8B9D-F529912172FC}</x14:id>
        </ext>
      </extLst>
    </cfRule>
  </conditionalFormatting>
  <conditionalFormatting sqref="A38:B45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{0792AE8F-898C-452E-A7E4-7D9AD72860FA}</x14:id>
        </ext>
      </extLst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9B3D72-6B99-4FB1-BA4D-6D53F366310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A3:C8</xm:sqref>
        </x14:conditionalFormatting>
        <x14:conditionalFormatting xmlns:xm="http://schemas.microsoft.com/office/excel/2006/main">
          <x14:cfRule type="dataBar" id="{4C1B5441-77B4-4ED6-8B9D-F529912172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A18:D35</xm:sqref>
        </x14:conditionalFormatting>
        <x14:conditionalFormatting xmlns:xm="http://schemas.microsoft.com/office/excel/2006/main">
          <x14:cfRule type="dataBar" id="{0792AE8F-898C-452E-A7E4-7D9AD72860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A38:B45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4C10-50DB-4586-9A18-60FDB8D4B48A}">
  <dimension ref="B5:M9"/>
  <sheetViews>
    <sheetView zoomScale="53" zoomScaleNormal="53" workbookViewId="0">
      <selection activeCell="AG104" sqref="AG104"/>
    </sheetView>
  </sheetViews>
  <sheetFormatPr defaultRowHeight="14.25" x14ac:dyDescent="0.2"/>
  <sheetData>
    <row r="5" spans="2:13" ht="15" thickBot="1" x14ac:dyDescent="0.25">
      <c r="B5" s="79"/>
    </row>
    <row r="6" spans="2:13" ht="15" thickTop="1" x14ac:dyDescent="0.2"/>
    <row r="9" spans="2:13" x14ac:dyDescent="0.2">
      <c r="M9" s="7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2F8A-857B-40CE-AF3F-6AB526B716BE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4D74B207-6C2D-4CD0-A47E-914B2DB3B455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F79C787B-3305-4380-86C2-D053BFC35ADF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07E4D3CA-F8ED-4489-B019-E6AC0F71245F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23618D19-E1FE-47E7-A06C-42BC9284AA7E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Data Cleaning</vt:lpstr>
      <vt:lpstr>Datas Processing</vt:lpstr>
      <vt:lpstr>Data Visualization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Raghul jayapalan</dc:creator>
  <cp:lastModifiedBy>Raghul jayapalan</cp:lastModifiedBy>
  <dcterms:created xsi:type="dcterms:W3CDTF">2026-03-12T15:03:34Z</dcterms:created>
  <dcterms:modified xsi:type="dcterms:W3CDTF">2026-03-17T08:02:59Z</dcterms:modified>
</cp:coreProperties>
</file>